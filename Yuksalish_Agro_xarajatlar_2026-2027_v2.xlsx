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arajatlar" sheetId="1" state="visible" r:id="rId3"/>
    <sheet name="Jamlan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<sst xmlns="http://schemas.openxmlformats.org/spreadsheetml/2006/main" count="288" uniqueCount="129">
  <si>
    <t xml:space="preserve">Yuksalish Agro: 2026-yil noyabr – 2027-yil dekabr xarajatlari (mln so'm)</t>
  </si>
  <si>
    <t xml:space="preserve">Qanday to'ldiriladi: sariq kataklardagi ko'k raqamlarni (oylar bo'yicha summa, miqdor, narx, manba) o'zgartiring. Qora raqamlar formulalar, ularni o'zgartirmang.</t>
  </si>
  <si>
    <t xml:space="preserve">Jami ustuni oylar yig'indisi. Tekshiruv ustuni: miqdor × narx bilan oylar yig'indisi orasidagi farq (0 bo'lishi kerak). Manba: "Kredit" yoki "O'z mablag'i".</t>
  </si>
  <si>
    <t xml:space="preserve">№</t>
  </si>
  <si>
    <t xml:space="preserve">Bo'lim</t>
  </si>
  <si>
    <t xml:space="preserve">Xarajat moddasi</t>
  </si>
  <si>
    <t xml:space="preserve">Birlik</t>
  </si>
  <si>
    <t xml:space="preserve">Miqdor</t>
  </si>
  <si>
    <t xml:space="preserve">Narx, mln so'm</t>
  </si>
  <si>
    <t xml:space="preserve">Manba</t>
  </si>
  <si>
    <t xml:space="preserve">Jami, mln so'm</t>
  </si>
  <si>
    <t xml:space="preserve">Tekshiruv</t>
  </si>
  <si>
    <t xml:space="preserve">Noy 2026</t>
  </si>
  <si>
    <t xml:space="preserve">Dek 2026</t>
  </si>
  <si>
    <t xml:space="preserve">Yan 2027</t>
  </si>
  <si>
    <t xml:space="preserve">Fev 2027</t>
  </si>
  <si>
    <t xml:space="preserve">Mar 2027</t>
  </si>
  <si>
    <t xml:space="preserve">Apr 2027</t>
  </si>
  <si>
    <t xml:space="preserve">May 2027</t>
  </si>
  <si>
    <t xml:space="preserve">Iyn 2027</t>
  </si>
  <si>
    <t xml:space="preserve">Iyl 2027</t>
  </si>
  <si>
    <t xml:space="preserve">Avg 2027</t>
  </si>
  <si>
    <t xml:space="preserve">Sen 2027</t>
  </si>
  <si>
    <t xml:space="preserve">Okt 2027</t>
  </si>
  <si>
    <t xml:space="preserve">Noy 2027</t>
  </si>
  <si>
    <t xml:space="preserve">Dek 2027</t>
  </si>
  <si>
    <t xml:space="preserve">Izoh</t>
  </si>
  <si>
    <t xml:space="preserve">Kapital xarajatlar</t>
  </si>
  <si>
    <t xml:space="preserve">Kapital xarajatlar: qurilish, texnika, mol, texnologiyalar</t>
  </si>
  <si>
    <t xml:space="preserve">Kapital</t>
  </si>
  <si>
    <t xml:space="preserve">Loyiha-smeta hujjatlari va ruxsatnomalar</t>
  </si>
  <si>
    <t xml:space="preserve">kompl.</t>
  </si>
  <si>
    <t xml:space="preserve">O'z mablag'i</t>
  </si>
  <si>
    <t xml:space="preserve">Molxona, bog'lanmasdan saqlash, 120 joy</t>
  </si>
  <si>
    <t xml:space="preserve">m²</t>
  </si>
  <si>
    <t xml:space="preserve">Qurilish: noyabr–dekabr 30% avans, yanvar–mart 70%</t>
  </si>
  <si>
    <t xml:space="preserve">Buzoqxona va g'unajinlar binosi</t>
  </si>
  <si>
    <t xml:space="preserve">Bo'rdoqi buqalar uchun ayvon</t>
  </si>
  <si>
    <t xml:space="preserve">Yopiq yem-xashak ombori (angar)</t>
  </si>
  <si>
    <t xml:space="preserve">Silos transheyalari (beton)</t>
  </si>
  <si>
    <t xml:space="preserve">m³</t>
  </si>
  <si>
    <t xml:space="preserve">Quduq, suv tarmog'i, avtosug'orgichlar</t>
  </si>
  <si>
    <t xml:space="preserve">Transformator, elektr tarmog'i, ventilyator va sovutish</t>
  </si>
  <si>
    <t xml:space="preserve">Veterinariya punkti, dezbarer, ofis va maishiy xona</t>
  </si>
  <si>
    <t xml:space="preserve">Go'ng maydoni, ichki yo'l, devor</t>
  </si>
  <si>
    <t xml:space="preserve">Silosni germetik yopish tizimi (himoya to'ri, qum qopchalari)</t>
  </si>
  <si>
    <t xml:space="preserve">Sotib olingan silosni saqlash uchun</t>
  </si>
  <si>
    <t xml:space="preserve">Sog'ish zali (2×6) va 3 tonnalik sut sovutgich</t>
  </si>
  <si>
    <t xml:space="preserve">Traktor (80–100 o.k.)</t>
  </si>
  <si>
    <t xml:space="preserve">dona</t>
  </si>
  <si>
    <t xml:space="preserve">Kuzgi ekish va qurilish ishlari uchun</t>
  </si>
  <si>
    <t xml:space="preserve">Tirkama va frontal yuklagich</t>
  </si>
  <si>
    <t xml:space="preserve">Ozuqa aralashtirgich-tarqatgich (miksyer)</t>
  </si>
  <si>
    <t xml:space="preserve">Beda uchun o'roq, panshaxa va press</t>
  </si>
  <si>
    <t xml:space="preserve">Birinchi beda o'rimi avgustda</t>
  </si>
  <si>
    <t xml:space="preserve">Texnologiya: Podani raqamli kuzatish (bo'yinbog', pedometr, shlyuz)</t>
  </si>
  <si>
    <t xml:space="preserve">Texnologiya: Sut hisoblagichlari va podani boshqarish dasturi</t>
  </si>
  <si>
    <t xml:space="preserve">Texnologiya: Ozuqani aniq taqsimlash tizimi</t>
  </si>
  <si>
    <t xml:space="preserve">Texnologiya: Mikroiqlimni avtomatik boshqarish</t>
  </si>
  <si>
    <t xml:space="preserve">Texnologiya: Avtomatik go'ng tozalash</t>
  </si>
  <si>
    <t xml:space="preserve">Texnologiya: Buzoqlarni avtomatik sut bilan boqish apparati</t>
  </si>
  <si>
    <t xml:space="preserve">Naslli bug'oz sigir (Xitoy), yetkazish va karantin bilan</t>
  </si>
  <si>
    <t xml:space="preserve">bosh</t>
  </si>
  <si>
    <t xml:space="preserve">Kredit</t>
  </si>
  <si>
    <t xml:space="preserve">Mart: 30% oldindan to'lov, aprel: qolgan 70% va yetkazib berish</t>
  </si>
  <si>
    <t xml:space="preserve">Kutilmagan xarajatlar uchun zaxira</t>
  </si>
  <si>
    <t xml:space="preserve">Jami: kapital xarajatlar</t>
  </si>
  <si>
    <t xml:space="preserve">Joriy xarajatlar</t>
  </si>
  <si>
    <t xml:space="preserve">Joriy xarajatlar: ekin, ozuqa, ish haqi va boshqalar</t>
  </si>
  <si>
    <t xml:space="preserve">Joriy</t>
  </si>
  <si>
    <t xml:space="preserve">Bug'doy 2026/27: yer haydash, urug', ekish, o'g'it (29.0 ga)</t>
  </si>
  <si>
    <t xml:space="preserve">ga</t>
  </si>
  <si>
    <t xml:space="preserve">2026-yil noyabr, aylanma mablag'dan</t>
  </si>
  <si>
    <t xml:space="preserve">Bug'doy 2026/27: bahorgi o'g'itlash va sug'orish</t>
  </si>
  <si>
    <t xml:space="preserve">Bug'doy 2026/27: o'rim (kombayn xizmati)</t>
  </si>
  <si>
    <t xml:space="preserve">Beda ekish: urug', yer tayyorlash (5.1 ga)</t>
  </si>
  <si>
    <t xml:space="preserve">Bug'doy 2027/28: haydash, urug', ekish, o'g'it (23.9 ga)</t>
  </si>
  <si>
    <t xml:space="preserve">Modelda 2028-yil xarajatiga yozilgan, bu yerda pul chiqqan oyda</t>
  </si>
  <si>
    <t xml:space="preserve">Konsentrat yem (omuxta yem, kunjara), sotib olinadi</t>
  </si>
  <si>
    <t xml:space="preserve">kg</t>
  </si>
  <si>
    <t xml:space="preserve">3700 so'm/kg; iyun–sentabrda o'z bug'doyimiz ishlatiladi</t>
  </si>
  <si>
    <t xml:space="preserve">Silos sotib olish</t>
  </si>
  <si>
    <t xml:space="preserve">Jami summa egasi tomonidan kiritilgan (600 mln so'm); o'z silosi 2028-yildan</t>
  </si>
  <si>
    <t xml:space="preserve">Beda pichani sotib olish</t>
  </si>
  <si>
    <t xml:space="preserve">2000 so'm/kg</t>
  </si>
  <si>
    <t xml:space="preserve">Somon sotib olish</t>
  </si>
  <si>
    <t xml:space="preserve">Iyundan o'z somonimiz</t>
  </si>
  <si>
    <t xml:space="preserve">Premiks, tuz, mineral qo'shimchalar</t>
  </si>
  <si>
    <t xml:space="preserve">Ish haqi: Ferma rahbari (1 kishi, oylik 8 mln so'm, ijtimoiy soliq bilan)</t>
  </si>
  <si>
    <t xml:space="preserve">oy</t>
  </si>
  <si>
    <t xml:space="preserve">Ish haqi: Veterinar (sun'iy urug'lantirish bilan) (1 kishi, oylik 6 mln so'm, ijtimoiy soliq bilan)</t>
  </si>
  <si>
    <t xml:space="preserve">Mollar kelishidan bir oy oldin ishga olinadi</t>
  </si>
  <si>
    <t xml:space="preserve">Ish haqi: Agronom (1 kishi, oylik 5 mln so'm, ijtimoiy soliq bilan)</t>
  </si>
  <si>
    <t xml:space="preserve">Ish haqi: Buxgalter (1 kishi, oylik 4 mln so'm, ijtimoiy soliq bilan)</t>
  </si>
  <si>
    <t xml:space="preserve">Ish haqi: Sog'uvchi (3 kishi, oylik 3.5 mln so'm, ijtimoiy soliq bilan)</t>
  </si>
  <si>
    <t xml:space="preserve">Ish haqi: Mol boquvchi (buzoqlar bilan) (3 kishi, oylik 3.5 mln so'm, ijtimoiy soliq bilan)</t>
  </si>
  <si>
    <t xml:space="preserve">Ish haqi: Traktorchi-mexanizator (1 kishi, oylik 4.5 mln so'm, ijtimoiy soliq bilan)</t>
  </si>
  <si>
    <t xml:space="preserve">Ish haqi: Suvchi (dala) (3 kishi, oylik 3 mln so'm, ijtimoiy soliq bilan)</t>
  </si>
  <si>
    <t xml:space="preserve">Ish haqi: Qorovul (1 kishi, oylik 2.5 mln so'm, ijtimoiy soliq bilan)</t>
  </si>
  <si>
    <t xml:space="preserve">Mavsumiy: bug'doy ekish, o'g'itlash, sug'orish (4 kishi)</t>
  </si>
  <si>
    <t xml:space="preserve">kishi-oy</t>
  </si>
  <si>
    <t xml:space="preserve">2026/27 hosili uchun</t>
  </si>
  <si>
    <t xml:space="preserve">Mavsumiy: bug'doy o'rimi va somon yig'ish (6 kishi)</t>
  </si>
  <si>
    <t xml:space="preserve">Mavsumiy: beda o'rimi va presslash (4 kishi, 2027-yilda 2 o'rim)</t>
  </si>
  <si>
    <t xml:space="preserve">Mavsumiy: bug'doy 2027/28 ekish (4 kishi)</t>
  </si>
  <si>
    <t xml:space="preserve">Veterinariya va dori-darmon</t>
  </si>
  <si>
    <t xml:space="preserve">Sun'iy urug'lantirish (urug', xizmat)</t>
  </si>
  <si>
    <t xml:space="preserve">Tug'ishlar iyulda</t>
  </si>
  <si>
    <t xml:space="preserve">Elektr va suv</t>
  </si>
  <si>
    <t xml:space="preserve">Texnologiyalar obunasi va dasturlar</t>
  </si>
  <si>
    <t xml:space="preserve">Yoqilg'i va texnika ta'miri</t>
  </si>
  <si>
    <t xml:space="preserve">Mollarni sug'urtalash</t>
  </si>
  <si>
    <t xml:space="preserve">Yer solig'i</t>
  </si>
  <si>
    <t xml:space="preserve">Boshqa xarajatlar (aloqa, transport, xo'jalik)</t>
  </si>
  <si>
    <t xml:space="preserve">Jami: joriy xarajatlar</t>
  </si>
  <si>
    <t xml:space="preserve">JAMI XARAJATLAR</t>
  </si>
  <si>
    <t xml:space="preserve">Jamlanma: oylar bo'yicha xarajatlar va moliyalashtirish manbasi (mln so'm)</t>
  </si>
  <si>
    <t xml:space="preserve">Bu varaq formulalar bilan "Xarajatlar" varag'idan hisoblanadi, uni tahrirlash shart emas.</t>
  </si>
  <si>
    <t xml:space="preserve">Ko'rsatkich</t>
  </si>
  <si>
    <t xml:space="preserve">Jami</t>
  </si>
  <si>
    <t xml:space="preserve">Kapital xarajatlar, kredit hisobidan</t>
  </si>
  <si>
    <t xml:space="preserve">Kapital xarajatlar, o'z mablag'i hisobidan</t>
  </si>
  <si>
    <t xml:space="preserve">Joriy xarajatlar, o'z mablag'i hisobidan</t>
  </si>
  <si>
    <t xml:space="preserve">Joriy xarajatlar, kredit hisobidan</t>
  </si>
  <si>
    <t xml:space="preserve">Kredit hisobidan jami</t>
  </si>
  <si>
    <t xml:space="preserve">O'z mablag'i hisobidan jami</t>
  </si>
  <si>
    <t xml:space="preserve">Jami xarajatlar</t>
  </si>
  <si>
    <t xml:space="preserve">O'z mablag'i, yig'ma (boshidan)</t>
  </si>
  <si>
    <t xml:space="preserve">Eslatma: 2027-yilda fermaga sut, buqa va bug'doy sotuvidan tushum ham keladi (biznes-rejadagi 9-bo'lim). Bu jadval faqat xarajatlarni ko'rsatadi, shuning uchun o'z mablag'idan haqiqatda kerak bo'ladigan pul bundan kamroq.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</si>
</sst>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;\-#,##0.0;\-"/>
    <numFmt numFmtId="167" formatCode="#,##0.0;\-#,##0.0;\✓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A665E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6A42"/>
        <bgColor rgb="FF5A665E"/>
      </patternFill>
    </fill>
    <fill>
      <patternFill patternType="solid">
        <fgColor rgb="FFE3EEE5"/>
        <bgColor rgb="FFFFF7D6"/>
      </patternFill>
    </fill>
    <fill>
      <patternFill patternType="solid">
        <fgColor rgb="FFFFF7D6"/>
        <bgColor rgb="FFFFFFFF"/>
      </patternFill>
    </fill>
    <fill>
      <patternFill patternType="solid">
        <fgColor rgb="FFC9DECF"/>
        <bgColor rgb="FFD0D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6A42"/>
      <rgbColor rgb="FFC9DECF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0D6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E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5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23" min="9" style="0" width="10"/>
    <col collapsed="false" customWidth="true" hidden="false" outlineLevel="0" max="24" min="24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customFormat="false" ht="15" hidden="false" customHeight="false" outlineLevel="0" collapsed="false">
      <c r="A6" s="4"/>
      <c r="B6" s="5" t="s">
        <v>27</v>
      </c>
      <c r="C6" s="6" t="s">
        <v>28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customFormat="false" ht="15" hidden="false" customHeight="false" outlineLevel="0" collapsed="false">
      <c r="A7" s="7" t="n">
        <v>1</v>
      </c>
      <c r="B7" s="7" t="s">
        <v>29</v>
      </c>
      <c r="C7" s="8" t="s">
        <v>30</v>
      </c>
      <c r="D7" s="7" t="s">
        <v>31</v>
      </c>
      <c r="E7" s="9" t="n">
        <v>1</v>
      </c>
      <c r="F7" s="10" t="n">
        <v>60</v>
      </c>
      <c r="G7" s="9" t="s">
        <v>32</v>
      </c>
      <c r="H7" s="11" t="n">
        <f aca="false">SUM(J7:W7)</f>
        <v>60</v>
      </c>
      <c r="I7" s="12" t="n">
        <f aca="false">ROUND(E7*F7-H7,1)</f>
        <v>0</v>
      </c>
      <c r="J7" s="13" t="n">
        <v>60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4"/>
    </row>
    <row r="8" customFormat="false" ht="15" hidden="false" customHeight="false" outlineLevel="0" collapsed="false">
      <c r="A8" s="7" t="n">
        <v>2</v>
      </c>
      <c r="B8" s="7" t="s">
        <v>29</v>
      </c>
      <c r="C8" s="8" t="s">
        <v>33</v>
      </c>
      <c r="D8" s="7" t="s">
        <v>34</v>
      </c>
      <c r="E8" s="9" t="n">
        <v>1400</v>
      </c>
      <c r="F8" s="10" t="n">
        <v>0.4286</v>
      </c>
      <c r="G8" s="9" t="s">
        <v>32</v>
      </c>
      <c r="H8" s="11" t="n">
        <f aca="false">SUM(J8:W8)</f>
        <v>600</v>
      </c>
      <c r="I8" s="12" t="n">
        <f aca="false">ROUND(E8*F8-H8,1)</f>
        <v>0</v>
      </c>
      <c r="J8" s="13" t="n">
        <v>90</v>
      </c>
      <c r="K8" s="13" t="n">
        <v>90</v>
      </c>
      <c r="L8" s="13" t="n">
        <v>150</v>
      </c>
      <c r="M8" s="13" t="n">
        <v>150</v>
      </c>
      <c r="N8" s="13" t="n">
        <v>120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0</v>
      </c>
      <c r="X8" s="14" t="s">
        <v>35</v>
      </c>
    </row>
    <row r="9" customFormat="false" ht="15" hidden="false" customHeight="false" outlineLevel="0" collapsed="false">
      <c r="A9" s="7" t="n">
        <v>3</v>
      </c>
      <c r="B9" s="7" t="s">
        <v>29</v>
      </c>
      <c r="C9" s="8" t="s">
        <v>36</v>
      </c>
      <c r="D9" s="7" t="s">
        <v>34</v>
      </c>
      <c r="E9" s="9" t="n">
        <v>700</v>
      </c>
      <c r="F9" s="10" t="n">
        <v>0.3571</v>
      </c>
      <c r="G9" s="9" t="s">
        <v>32</v>
      </c>
      <c r="H9" s="11" t="n">
        <f aca="false">SUM(J9:W9)</f>
        <v>250</v>
      </c>
      <c r="I9" s="12" t="n">
        <f aca="false">ROUND(E9*F9-H9,1)</f>
        <v>-0</v>
      </c>
      <c r="J9" s="13" t="n">
        <v>37.5</v>
      </c>
      <c r="K9" s="13" t="n">
        <v>37.5</v>
      </c>
      <c r="L9" s="13" t="n">
        <v>62.5</v>
      </c>
      <c r="M9" s="13" t="n">
        <v>62.5</v>
      </c>
      <c r="N9" s="13" t="n">
        <v>50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4"/>
    </row>
    <row r="10" customFormat="false" ht="15" hidden="false" customHeight="false" outlineLevel="0" collapsed="false">
      <c r="A10" s="7" t="n">
        <v>4</v>
      </c>
      <c r="B10" s="7" t="s">
        <v>29</v>
      </c>
      <c r="C10" s="8" t="s">
        <v>37</v>
      </c>
      <c r="D10" s="7" t="s">
        <v>34</v>
      </c>
      <c r="E10" s="9" t="n">
        <v>600</v>
      </c>
      <c r="F10" s="10" t="n">
        <v>0.2</v>
      </c>
      <c r="G10" s="9" t="s">
        <v>32</v>
      </c>
      <c r="H10" s="11" t="n">
        <f aca="false">SUM(J10:W10)</f>
        <v>120</v>
      </c>
      <c r="I10" s="12" t="n">
        <f aca="false">ROUND(E10*F10-H10,1)</f>
        <v>0</v>
      </c>
      <c r="J10" s="13" t="n">
        <v>18</v>
      </c>
      <c r="K10" s="13" t="n">
        <v>18</v>
      </c>
      <c r="L10" s="13" t="n">
        <v>30</v>
      </c>
      <c r="M10" s="13" t="n">
        <v>30</v>
      </c>
      <c r="N10" s="13" t="n">
        <v>24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/>
    </row>
    <row r="11" customFormat="false" ht="15" hidden="false" customHeight="false" outlineLevel="0" collapsed="false">
      <c r="A11" s="7" t="n">
        <v>5</v>
      </c>
      <c r="B11" s="7" t="s">
        <v>29</v>
      </c>
      <c r="C11" s="8" t="s">
        <v>38</v>
      </c>
      <c r="D11" s="7" t="s">
        <v>34</v>
      </c>
      <c r="E11" s="9" t="n">
        <v>800</v>
      </c>
      <c r="F11" s="10" t="n">
        <v>0.1</v>
      </c>
      <c r="G11" s="9" t="s">
        <v>32</v>
      </c>
      <c r="H11" s="11" t="n">
        <f aca="false">SUM(J11:W11)</f>
        <v>80</v>
      </c>
      <c r="I11" s="12" t="n">
        <f aca="false">ROUND(E11*F11-H11,1)</f>
        <v>0</v>
      </c>
      <c r="J11" s="13" t="n">
        <v>12</v>
      </c>
      <c r="K11" s="13" t="n">
        <v>12</v>
      </c>
      <c r="L11" s="13" t="n">
        <v>20</v>
      </c>
      <c r="M11" s="13" t="n">
        <v>20</v>
      </c>
      <c r="N11" s="13" t="n">
        <v>16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/>
    </row>
    <row r="12" customFormat="false" ht="15" hidden="false" customHeight="false" outlineLevel="0" collapsed="false">
      <c r="A12" s="7" t="n">
        <v>6</v>
      </c>
      <c r="B12" s="7" t="s">
        <v>29</v>
      </c>
      <c r="C12" s="8" t="s">
        <v>39</v>
      </c>
      <c r="D12" s="7" t="s">
        <v>40</v>
      </c>
      <c r="E12" s="9" t="n">
        <v>1300</v>
      </c>
      <c r="F12" s="10" t="n">
        <v>0.0923</v>
      </c>
      <c r="G12" s="9" t="s">
        <v>32</v>
      </c>
      <c r="H12" s="11" t="n">
        <f aca="false">SUM(J12:W12)</f>
        <v>120</v>
      </c>
      <c r="I12" s="12" t="n">
        <f aca="false">ROUND(E12*F12-H12,1)</f>
        <v>-0</v>
      </c>
      <c r="J12" s="13" t="n">
        <v>18</v>
      </c>
      <c r="K12" s="13" t="n">
        <v>18</v>
      </c>
      <c r="L12" s="13" t="n">
        <v>30</v>
      </c>
      <c r="M12" s="13" t="n">
        <v>30</v>
      </c>
      <c r="N12" s="13" t="n">
        <v>24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/>
    </row>
    <row r="13" customFormat="false" ht="15" hidden="false" customHeight="false" outlineLevel="0" collapsed="false">
      <c r="A13" s="7" t="n">
        <v>7</v>
      </c>
      <c r="B13" s="7" t="s">
        <v>29</v>
      </c>
      <c r="C13" s="8" t="s">
        <v>41</v>
      </c>
      <c r="D13" s="7" t="s">
        <v>31</v>
      </c>
      <c r="E13" s="9" t="n">
        <v>1</v>
      </c>
      <c r="F13" s="10" t="n">
        <v>50</v>
      </c>
      <c r="G13" s="9" t="s">
        <v>32</v>
      </c>
      <c r="H13" s="11" t="n">
        <f aca="false">SUM(J13:W13)</f>
        <v>50</v>
      </c>
      <c r="I13" s="12" t="n">
        <f aca="false">ROUND(E13*F13-H13,1)</f>
        <v>0</v>
      </c>
      <c r="J13" s="13" t="n">
        <v>7.5</v>
      </c>
      <c r="K13" s="13" t="n">
        <v>7.5</v>
      </c>
      <c r="L13" s="13" t="n">
        <v>12.5</v>
      </c>
      <c r="M13" s="13" t="n">
        <v>12.5</v>
      </c>
      <c r="N13" s="13" t="n">
        <v>10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4"/>
    </row>
    <row r="14" customFormat="false" ht="15" hidden="false" customHeight="false" outlineLevel="0" collapsed="false">
      <c r="A14" s="7" t="n">
        <v>8</v>
      </c>
      <c r="B14" s="7" t="s">
        <v>29</v>
      </c>
      <c r="C14" s="8" t="s">
        <v>42</v>
      </c>
      <c r="D14" s="7" t="s">
        <v>31</v>
      </c>
      <c r="E14" s="9" t="n">
        <v>1</v>
      </c>
      <c r="F14" s="10" t="n">
        <v>100</v>
      </c>
      <c r="G14" s="9" t="s">
        <v>32</v>
      </c>
      <c r="H14" s="11" t="n">
        <f aca="false">SUM(J14:W14)</f>
        <v>100</v>
      </c>
      <c r="I14" s="12" t="n">
        <f aca="false">ROUND(E14*F14-H14,1)</f>
        <v>0</v>
      </c>
      <c r="J14" s="13" t="n">
        <v>15</v>
      </c>
      <c r="K14" s="13" t="n">
        <v>15</v>
      </c>
      <c r="L14" s="13" t="n">
        <v>25</v>
      </c>
      <c r="M14" s="13" t="n">
        <v>25</v>
      </c>
      <c r="N14" s="13" t="n">
        <v>20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4"/>
    </row>
    <row r="15" customFormat="false" ht="15" hidden="false" customHeight="false" outlineLevel="0" collapsed="false">
      <c r="A15" s="7" t="n">
        <v>9</v>
      </c>
      <c r="B15" s="7" t="s">
        <v>29</v>
      </c>
      <c r="C15" s="8" t="s">
        <v>43</v>
      </c>
      <c r="D15" s="7" t="s">
        <v>31</v>
      </c>
      <c r="E15" s="9" t="n">
        <v>1</v>
      </c>
      <c r="F15" s="10" t="n">
        <v>30</v>
      </c>
      <c r="G15" s="9" t="s">
        <v>32</v>
      </c>
      <c r="H15" s="11" t="n">
        <f aca="false">SUM(J15:W15)</f>
        <v>30</v>
      </c>
      <c r="I15" s="12" t="n">
        <f aca="false">ROUND(E15*F15-H15,1)</f>
        <v>0</v>
      </c>
      <c r="J15" s="13" t="n">
        <v>4.5</v>
      </c>
      <c r="K15" s="13" t="n">
        <v>4.5</v>
      </c>
      <c r="L15" s="13" t="n">
        <v>7.5</v>
      </c>
      <c r="M15" s="13" t="n">
        <v>7.5</v>
      </c>
      <c r="N15" s="13" t="n">
        <v>6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4"/>
    </row>
    <row r="16" customFormat="false" ht="15" hidden="false" customHeight="false" outlineLevel="0" collapsed="false">
      <c r="A16" s="7" t="n">
        <v>10</v>
      </c>
      <c r="B16" s="7" t="s">
        <v>29</v>
      </c>
      <c r="C16" s="8" t="s">
        <v>44</v>
      </c>
      <c r="D16" s="7" t="s">
        <v>31</v>
      </c>
      <c r="E16" s="9" t="n">
        <v>1</v>
      </c>
      <c r="F16" s="10" t="n">
        <v>10</v>
      </c>
      <c r="G16" s="9" t="s">
        <v>32</v>
      </c>
      <c r="H16" s="11" t="n">
        <f aca="false">SUM(J16:W16)</f>
        <v>10</v>
      </c>
      <c r="I16" s="12" t="n">
        <f aca="false">ROUND(E16*F16-H16,1)</f>
        <v>0</v>
      </c>
      <c r="J16" s="13" t="n">
        <v>1.5</v>
      </c>
      <c r="K16" s="13" t="n">
        <v>1.5</v>
      </c>
      <c r="L16" s="13" t="n">
        <v>2.5</v>
      </c>
      <c r="M16" s="13" t="n">
        <v>2.5</v>
      </c>
      <c r="N16" s="13" t="n">
        <v>2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4"/>
    </row>
    <row r="17" customFormat="false" ht="15" hidden="false" customHeight="false" outlineLevel="0" collapsed="false">
      <c r="A17" s="7" t="n">
        <v>11</v>
      </c>
      <c r="B17" s="7" t="s">
        <v>29</v>
      </c>
      <c r="C17" s="8" t="s">
        <v>45</v>
      </c>
      <c r="D17" s="7" t="s">
        <v>31</v>
      </c>
      <c r="E17" s="9" t="n">
        <v>1</v>
      </c>
      <c r="F17" s="10" t="n">
        <v>10</v>
      </c>
      <c r="G17" s="9" t="s">
        <v>32</v>
      </c>
      <c r="H17" s="11" t="n">
        <f aca="false">SUM(J17:W17)</f>
        <v>10</v>
      </c>
      <c r="I17" s="12" t="n">
        <f aca="false">ROUND(E17*F17-H17,1)</f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10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4" t="s">
        <v>46</v>
      </c>
    </row>
    <row r="18" customFormat="false" ht="15" hidden="false" customHeight="false" outlineLevel="0" collapsed="false">
      <c r="A18" s="7" t="n">
        <v>12</v>
      </c>
      <c r="B18" s="7" t="s">
        <v>29</v>
      </c>
      <c r="C18" s="8" t="s">
        <v>47</v>
      </c>
      <c r="D18" s="7" t="s">
        <v>31</v>
      </c>
      <c r="E18" s="9" t="n">
        <v>1</v>
      </c>
      <c r="F18" s="10" t="n">
        <v>300</v>
      </c>
      <c r="G18" s="9" t="s">
        <v>32</v>
      </c>
      <c r="H18" s="11" t="n">
        <f aca="false">SUM(J18:W18)</f>
        <v>300</v>
      </c>
      <c r="I18" s="12" t="n">
        <f aca="false">ROUND(E18*F18-H18,1)</f>
        <v>0</v>
      </c>
      <c r="J18" s="13" t="n">
        <v>0</v>
      </c>
      <c r="K18" s="13" t="n">
        <v>0</v>
      </c>
      <c r="L18" s="13" t="n">
        <v>0</v>
      </c>
      <c r="M18" s="13" t="n">
        <v>150</v>
      </c>
      <c r="N18" s="13" t="n">
        <v>150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4"/>
    </row>
    <row r="19" customFormat="false" ht="15" hidden="false" customHeight="false" outlineLevel="0" collapsed="false">
      <c r="A19" s="7" t="n">
        <v>13</v>
      </c>
      <c r="B19" s="7" t="s">
        <v>29</v>
      </c>
      <c r="C19" s="8" t="s">
        <v>48</v>
      </c>
      <c r="D19" s="7" t="s">
        <v>49</v>
      </c>
      <c r="E19" s="9" t="n">
        <v>1</v>
      </c>
      <c r="F19" s="10" t="n">
        <v>20</v>
      </c>
      <c r="G19" s="9" t="s">
        <v>32</v>
      </c>
      <c r="H19" s="11" t="n">
        <f aca="false">SUM(J19:W19)</f>
        <v>20</v>
      </c>
      <c r="I19" s="12" t="n">
        <f aca="false">ROUND(E19*F19-H19,1)</f>
        <v>0</v>
      </c>
      <c r="J19" s="13" t="n">
        <v>20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4" t="s">
        <v>50</v>
      </c>
    </row>
    <row r="20" customFormat="false" ht="15" hidden="false" customHeight="false" outlineLevel="0" collapsed="false">
      <c r="A20" s="7" t="n">
        <v>14</v>
      </c>
      <c r="B20" s="7" t="s">
        <v>29</v>
      </c>
      <c r="C20" s="8" t="s">
        <v>51</v>
      </c>
      <c r="D20" s="7" t="s">
        <v>31</v>
      </c>
      <c r="E20" s="9" t="n">
        <v>1</v>
      </c>
      <c r="F20" s="10" t="n">
        <v>5</v>
      </c>
      <c r="G20" s="9" t="s">
        <v>32</v>
      </c>
      <c r="H20" s="11" t="n">
        <f aca="false">SUM(J20:W20)</f>
        <v>5</v>
      </c>
      <c r="I20" s="12" t="n">
        <f aca="false">ROUND(E20*F20-H20,1)</f>
        <v>0</v>
      </c>
      <c r="J20" s="13" t="n">
        <v>5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4"/>
    </row>
    <row r="21" customFormat="false" ht="15" hidden="false" customHeight="false" outlineLevel="0" collapsed="false">
      <c r="A21" s="7" t="n">
        <v>15</v>
      </c>
      <c r="B21" s="7" t="s">
        <v>29</v>
      </c>
      <c r="C21" s="8" t="s">
        <v>52</v>
      </c>
      <c r="D21" s="7" t="s">
        <v>49</v>
      </c>
      <c r="E21" s="9" t="n">
        <v>1</v>
      </c>
      <c r="F21" s="10" t="n">
        <v>50</v>
      </c>
      <c r="G21" s="9" t="s">
        <v>32</v>
      </c>
      <c r="H21" s="11" t="n">
        <f aca="false">SUM(J21:W21)</f>
        <v>50</v>
      </c>
      <c r="I21" s="12" t="n">
        <f aca="false">ROUND(E21*F21-H21,1)</f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50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4"/>
    </row>
    <row r="22" customFormat="false" ht="15" hidden="false" customHeight="false" outlineLevel="0" collapsed="false">
      <c r="A22" s="7" t="n">
        <v>16</v>
      </c>
      <c r="B22" s="7" t="s">
        <v>29</v>
      </c>
      <c r="C22" s="8" t="s">
        <v>53</v>
      </c>
      <c r="D22" s="7" t="s">
        <v>31</v>
      </c>
      <c r="E22" s="9" t="n">
        <v>1</v>
      </c>
      <c r="F22" s="10" t="n">
        <v>120</v>
      </c>
      <c r="G22" s="9" t="s">
        <v>32</v>
      </c>
      <c r="H22" s="11" t="n">
        <f aca="false">SUM(J22:W22)</f>
        <v>120</v>
      </c>
      <c r="I22" s="12" t="n">
        <f aca="false">ROUND(E22*F22-H22,1)</f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120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4" t="s">
        <v>54</v>
      </c>
    </row>
    <row r="23" customFormat="false" ht="15" hidden="false" customHeight="false" outlineLevel="0" collapsed="false">
      <c r="A23" s="7" t="n">
        <v>17</v>
      </c>
      <c r="B23" s="7" t="s">
        <v>29</v>
      </c>
      <c r="C23" s="8" t="s">
        <v>55</v>
      </c>
      <c r="D23" s="7" t="s">
        <v>31</v>
      </c>
      <c r="E23" s="9" t="n">
        <v>1</v>
      </c>
      <c r="F23" s="10" t="n">
        <v>60</v>
      </c>
      <c r="G23" s="9" t="s">
        <v>32</v>
      </c>
      <c r="H23" s="11" t="n">
        <f aca="false">SUM(J23:W23)</f>
        <v>60</v>
      </c>
      <c r="I23" s="12" t="n">
        <f aca="false">ROUND(E23*F23-H23,1)</f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60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4"/>
    </row>
    <row r="24" customFormat="false" ht="15" hidden="false" customHeight="false" outlineLevel="0" collapsed="false">
      <c r="A24" s="7" t="n">
        <v>18</v>
      </c>
      <c r="B24" s="7" t="s">
        <v>29</v>
      </c>
      <c r="C24" s="8" t="s">
        <v>56</v>
      </c>
      <c r="D24" s="7" t="s">
        <v>31</v>
      </c>
      <c r="E24" s="9" t="n">
        <v>1</v>
      </c>
      <c r="F24" s="10" t="n">
        <v>60</v>
      </c>
      <c r="G24" s="9" t="s">
        <v>32</v>
      </c>
      <c r="H24" s="11" t="n">
        <f aca="false">SUM(J24:W24)</f>
        <v>60</v>
      </c>
      <c r="I24" s="12" t="n">
        <f aca="false">ROUND(E24*F24-H24,1)</f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60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4"/>
    </row>
    <row r="25" customFormat="false" ht="15" hidden="false" customHeight="false" outlineLevel="0" collapsed="false">
      <c r="A25" s="7" t="n">
        <v>19</v>
      </c>
      <c r="B25" s="7" t="s">
        <v>29</v>
      </c>
      <c r="C25" s="8" t="s">
        <v>57</v>
      </c>
      <c r="D25" s="7" t="s">
        <v>31</v>
      </c>
      <c r="E25" s="9" t="n">
        <v>1</v>
      </c>
      <c r="F25" s="10" t="n">
        <v>20</v>
      </c>
      <c r="G25" s="9" t="s">
        <v>32</v>
      </c>
      <c r="H25" s="11" t="n">
        <f aca="false">SUM(J25:W25)</f>
        <v>20</v>
      </c>
      <c r="I25" s="12" t="n">
        <f aca="false">ROUND(E25*F25-H25,1)</f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20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4"/>
    </row>
    <row r="26" customFormat="false" ht="15" hidden="false" customHeight="false" outlineLevel="0" collapsed="false">
      <c r="A26" s="7" t="n">
        <v>20</v>
      </c>
      <c r="B26" s="7" t="s">
        <v>29</v>
      </c>
      <c r="C26" s="8" t="s">
        <v>58</v>
      </c>
      <c r="D26" s="7" t="s">
        <v>31</v>
      </c>
      <c r="E26" s="9" t="n">
        <v>1</v>
      </c>
      <c r="F26" s="10" t="n">
        <v>40</v>
      </c>
      <c r="G26" s="9" t="s">
        <v>32</v>
      </c>
      <c r="H26" s="11" t="n">
        <f aca="false">SUM(J26:W26)</f>
        <v>40</v>
      </c>
      <c r="I26" s="12" t="n">
        <f aca="false">ROUND(E26*F26-H26,1)</f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40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4"/>
    </row>
    <row r="27" customFormat="false" ht="15" hidden="false" customHeight="false" outlineLevel="0" collapsed="false">
      <c r="A27" s="7" t="n">
        <v>21</v>
      </c>
      <c r="B27" s="7" t="s">
        <v>29</v>
      </c>
      <c r="C27" s="8" t="s">
        <v>59</v>
      </c>
      <c r="D27" s="7" t="s">
        <v>31</v>
      </c>
      <c r="E27" s="9" t="n">
        <v>1</v>
      </c>
      <c r="F27" s="10" t="n">
        <v>80</v>
      </c>
      <c r="G27" s="9" t="s">
        <v>32</v>
      </c>
      <c r="H27" s="11" t="n">
        <f aca="false">SUM(J27:W27)</f>
        <v>80</v>
      </c>
      <c r="I27" s="12" t="n">
        <f aca="false">ROUND(E27*F27-H27,1)</f>
        <v>0</v>
      </c>
      <c r="J27" s="13" t="n">
        <v>0</v>
      </c>
      <c r="K27" s="13" t="n">
        <v>0</v>
      </c>
      <c r="L27" s="13" t="n">
        <v>0</v>
      </c>
      <c r="M27" s="13" t="n">
        <v>80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4"/>
    </row>
    <row r="28" customFormat="false" ht="15" hidden="false" customHeight="false" outlineLevel="0" collapsed="false">
      <c r="A28" s="7" t="n">
        <v>22</v>
      </c>
      <c r="B28" s="7" t="s">
        <v>29</v>
      </c>
      <c r="C28" s="8" t="s">
        <v>60</v>
      </c>
      <c r="D28" s="7" t="s">
        <v>31</v>
      </c>
      <c r="E28" s="9" t="n">
        <v>1</v>
      </c>
      <c r="F28" s="10" t="n">
        <v>20</v>
      </c>
      <c r="G28" s="9" t="s">
        <v>32</v>
      </c>
      <c r="H28" s="11" t="n">
        <f aca="false">SUM(J28:W28)</f>
        <v>20</v>
      </c>
      <c r="I28" s="12" t="n">
        <f aca="false">ROUND(E28*F28-H28,1)</f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20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4"/>
    </row>
    <row r="29" customFormat="false" ht="15" hidden="false" customHeight="false" outlineLevel="0" collapsed="false">
      <c r="A29" s="7" t="n">
        <v>23</v>
      </c>
      <c r="B29" s="7" t="s">
        <v>29</v>
      </c>
      <c r="C29" s="8" t="s">
        <v>61</v>
      </c>
      <c r="D29" s="7" t="s">
        <v>62</v>
      </c>
      <c r="E29" s="9" t="n">
        <v>100</v>
      </c>
      <c r="F29" s="10" t="n">
        <v>38</v>
      </c>
      <c r="G29" s="9" t="s">
        <v>63</v>
      </c>
      <c r="H29" s="11" t="n">
        <f aca="false">SUM(J29:W29)</f>
        <v>3800</v>
      </c>
      <c r="I29" s="12" t="n">
        <f aca="false">ROUND(E29*F29-H29,1)</f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1140</v>
      </c>
      <c r="O29" s="13" t="n">
        <v>2660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4" t="s">
        <v>64</v>
      </c>
    </row>
    <row r="30" customFormat="false" ht="15" hidden="false" customHeight="false" outlineLevel="0" collapsed="false">
      <c r="A30" s="7" t="n">
        <v>24</v>
      </c>
      <c r="B30" s="7" t="s">
        <v>29</v>
      </c>
      <c r="C30" s="8" t="s">
        <v>65</v>
      </c>
      <c r="D30" s="7" t="s">
        <v>31</v>
      </c>
      <c r="E30" s="9" t="n">
        <v>1</v>
      </c>
      <c r="F30" s="10" t="n">
        <v>120</v>
      </c>
      <c r="G30" s="9" t="s">
        <v>32</v>
      </c>
      <c r="H30" s="11" t="n">
        <f aca="false">SUM(J30:W30)</f>
        <v>120</v>
      </c>
      <c r="I30" s="12" t="n">
        <f aca="false">ROUND(E30*F30-H30,1)</f>
        <v>0</v>
      </c>
      <c r="J30" s="13" t="n">
        <v>15</v>
      </c>
      <c r="K30" s="13" t="n">
        <v>15</v>
      </c>
      <c r="L30" s="13" t="n">
        <v>20</v>
      </c>
      <c r="M30" s="13" t="n">
        <v>20</v>
      </c>
      <c r="N30" s="13" t="n">
        <v>20</v>
      </c>
      <c r="O30" s="13" t="n">
        <v>10</v>
      </c>
      <c r="P30" s="13" t="n">
        <v>0</v>
      </c>
      <c r="Q30" s="13" t="n">
        <v>0</v>
      </c>
      <c r="R30" s="13" t="n">
        <v>10</v>
      </c>
      <c r="S30" s="13" t="n">
        <v>0</v>
      </c>
      <c r="T30" s="13" t="n">
        <v>0</v>
      </c>
      <c r="U30" s="13" t="n">
        <v>10</v>
      </c>
      <c r="V30" s="13" t="n">
        <v>0</v>
      </c>
      <c r="W30" s="13" t="n">
        <v>0</v>
      </c>
      <c r="X30" s="14"/>
    </row>
    <row r="31" customFormat="false" ht="15" hidden="false" customHeight="false" outlineLevel="0" collapsed="false">
      <c r="A31" s="15"/>
      <c r="B31" s="15"/>
      <c r="C31" s="16" t="s">
        <v>66</v>
      </c>
      <c r="D31" s="15"/>
      <c r="E31" s="15"/>
      <c r="F31" s="15"/>
      <c r="G31" s="15"/>
      <c r="H31" s="17" t="n">
        <f aca="false">SUM(H7:H30)</f>
        <v>6125</v>
      </c>
      <c r="I31" s="15"/>
      <c r="J31" s="17" t="n">
        <f aca="false">SUM(J7:J30)</f>
        <v>304</v>
      </c>
      <c r="K31" s="17" t="n">
        <f aca="false">SUM(K7:K30)</f>
        <v>219</v>
      </c>
      <c r="L31" s="17" t="n">
        <f aca="false">SUM(L7:L30)</f>
        <v>360</v>
      </c>
      <c r="M31" s="17" t="n">
        <f aca="false">SUM(M7:M30)</f>
        <v>590</v>
      </c>
      <c r="N31" s="17" t="n">
        <f aca="false">SUM(N7:N30)</f>
        <v>1772</v>
      </c>
      <c r="O31" s="17" t="n">
        <f aca="false">SUM(O7:O30)</f>
        <v>2740</v>
      </c>
      <c r="P31" s="17" t="n">
        <f aca="false">SUM(P7:P30)</f>
        <v>0</v>
      </c>
      <c r="Q31" s="17" t="n">
        <f aca="false">SUM(Q7:Q30)</f>
        <v>0</v>
      </c>
      <c r="R31" s="17" t="n">
        <f aca="false">SUM(R7:R30)</f>
        <v>130</v>
      </c>
      <c r="S31" s="17" t="n">
        <f aca="false">SUM(S7:S30)</f>
        <v>0</v>
      </c>
      <c r="T31" s="17" t="n">
        <f aca="false">SUM(T7:T30)</f>
        <v>0</v>
      </c>
      <c r="U31" s="17" t="n">
        <f aca="false">SUM(U7:U30)</f>
        <v>10</v>
      </c>
      <c r="V31" s="17" t="n">
        <f aca="false">SUM(V7:V30)</f>
        <v>0</v>
      </c>
      <c r="W31" s="17" t="n">
        <f aca="false">SUM(W7:W30)</f>
        <v>0</v>
      </c>
      <c r="X31" s="15"/>
    </row>
    <row r="32" customFormat="false" ht="15" hidden="false" customHeight="false" outlineLevel="0" collapsed="false">
      <c r="C32" s="18"/>
    </row>
    <row r="33" customFormat="false" ht="15" hidden="false" customHeight="false" outlineLevel="0" collapsed="false">
      <c r="A33" s="4"/>
      <c r="B33" s="5" t="s">
        <v>67</v>
      </c>
      <c r="C33" s="6" t="s">
        <v>68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customFormat="false" ht="15" hidden="false" customHeight="false" outlineLevel="0" collapsed="false">
      <c r="A34" s="7" t="n">
        <v>25</v>
      </c>
      <c r="B34" s="7" t="s">
        <v>69</v>
      </c>
      <c r="C34" s="8" t="s">
        <v>70</v>
      </c>
      <c r="D34" s="7" t="s">
        <v>71</v>
      </c>
      <c r="E34" s="9" t="n">
        <v>29</v>
      </c>
      <c r="F34" s="10" t="n">
        <v>4.5</v>
      </c>
      <c r="G34" s="9" t="s">
        <v>32</v>
      </c>
      <c r="H34" s="11" t="n">
        <f aca="false">SUM(J34:W34)</f>
        <v>130.5</v>
      </c>
      <c r="I34" s="12" t="n">
        <f aca="false">ROUND(E34*F34-H34,1)</f>
        <v>0</v>
      </c>
      <c r="J34" s="13" t="n">
        <v>130.5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4" t="s">
        <v>72</v>
      </c>
    </row>
    <row r="35" customFormat="false" ht="15" hidden="false" customHeight="false" outlineLevel="0" collapsed="false">
      <c r="A35" s="7" t="n">
        <v>26</v>
      </c>
      <c r="B35" s="7" t="s">
        <v>69</v>
      </c>
      <c r="C35" s="8" t="s">
        <v>73</v>
      </c>
      <c r="D35" s="7" t="s">
        <v>71</v>
      </c>
      <c r="E35" s="9" t="n">
        <v>29</v>
      </c>
      <c r="F35" s="10" t="n">
        <v>2.43</v>
      </c>
      <c r="G35" s="9" t="s">
        <v>32</v>
      </c>
      <c r="H35" s="11" t="n">
        <f aca="false">SUM(J35:W35)</f>
        <v>70.5</v>
      </c>
      <c r="I35" s="12" t="n">
        <f aca="false">ROUND(E35*F35-H35,1)</f>
        <v>-0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70.5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4"/>
    </row>
    <row r="36" customFormat="false" ht="15" hidden="false" customHeight="false" outlineLevel="0" collapsed="false">
      <c r="A36" s="7" t="n">
        <v>27</v>
      </c>
      <c r="B36" s="7" t="s">
        <v>69</v>
      </c>
      <c r="C36" s="8" t="s">
        <v>74</v>
      </c>
      <c r="D36" s="7" t="s">
        <v>71</v>
      </c>
      <c r="E36" s="9" t="n">
        <v>29</v>
      </c>
      <c r="F36" s="10" t="n">
        <v>2.07</v>
      </c>
      <c r="G36" s="9" t="s">
        <v>32</v>
      </c>
      <c r="H36" s="11" t="n">
        <f aca="false">SUM(J36:W36)</f>
        <v>60</v>
      </c>
      <c r="I36" s="12" t="n">
        <f aca="false">ROUND(E36*F36-H36,1)</f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60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4"/>
    </row>
    <row r="37" customFormat="false" ht="15" hidden="false" customHeight="false" outlineLevel="0" collapsed="false">
      <c r="A37" s="7" t="n">
        <v>28</v>
      </c>
      <c r="B37" s="7" t="s">
        <v>69</v>
      </c>
      <c r="C37" s="8" t="s">
        <v>75</v>
      </c>
      <c r="D37" s="7" t="s">
        <v>71</v>
      </c>
      <c r="E37" s="9" t="n">
        <v>5.1</v>
      </c>
      <c r="F37" s="10" t="n">
        <v>12</v>
      </c>
      <c r="G37" s="9" t="s">
        <v>32</v>
      </c>
      <c r="H37" s="11" t="n">
        <f aca="false">SUM(J37:W37)</f>
        <v>61.2</v>
      </c>
      <c r="I37" s="12" t="n">
        <f aca="false">ROUND(E37*F37-H37,1)</f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61.2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4"/>
    </row>
    <row r="38" customFormat="false" ht="15" hidden="false" customHeight="false" outlineLevel="0" collapsed="false">
      <c r="A38" s="7" t="n">
        <v>29</v>
      </c>
      <c r="B38" s="7" t="s">
        <v>69</v>
      </c>
      <c r="C38" s="8" t="s">
        <v>76</v>
      </c>
      <c r="D38" s="7" t="s">
        <v>71</v>
      </c>
      <c r="E38" s="9" t="n">
        <v>23.9</v>
      </c>
      <c r="F38" s="10" t="n">
        <v>4.5</v>
      </c>
      <c r="G38" s="9" t="s">
        <v>32</v>
      </c>
      <c r="H38" s="11" t="n">
        <f aca="false">SUM(J38:W38)</f>
        <v>107.5</v>
      </c>
      <c r="I38" s="12" t="n">
        <f aca="false">ROUND(E38*F38-H38,1)</f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107.5</v>
      </c>
      <c r="W38" s="13" t="n">
        <v>0</v>
      </c>
      <c r="X38" s="14" t="s">
        <v>77</v>
      </c>
    </row>
    <row r="39" customFormat="false" ht="15" hidden="false" customHeight="false" outlineLevel="0" collapsed="false">
      <c r="A39" s="7" t="n">
        <v>30</v>
      </c>
      <c r="B39" s="7" t="s">
        <v>69</v>
      </c>
      <c r="C39" s="8" t="s">
        <v>78</v>
      </c>
      <c r="D39" s="7" t="s">
        <v>79</v>
      </c>
      <c r="E39" s="19"/>
      <c r="F39" s="19"/>
      <c r="G39" s="9" t="s">
        <v>32</v>
      </c>
      <c r="H39" s="11" t="n">
        <f aca="false">SUM(J39:W39)</f>
        <v>301.4</v>
      </c>
      <c r="I39" s="19"/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52.9</v>
      </c>
      <c r="P39" s="13" t="n">
        <v>52.9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49.6</v>
      </c>
      <c r="V39" s="13" t="n">
        <v>73</v>
      </c>
      <c r="W39" s="13" t="n">
        <v>73</v>
      </c>
      <c r="X39" s="14" t="s">
        <v>80</v>
      </c>
    </row>
    <row r="40" customFormat="false" ht="15" hidden="false" customHeight="false" outlineLevel="0" collapsed="false">
      <c r="A40" s="7" t="n">
        <v>31</v>
      </c>
      <c r="B40" s="7" t="s">
        <v>69</v>
      </c>
      <c r="C40" s="8" t="s">
        <v>81</v>
      </c>
      <c r="D40" s="7" t="s">
        <v>79</v>
      </c>
      <c r="E40" s="19"/>
      <c r="F40" s="19"/>
      <c r="G40" s="9" t="s">
        <v>32</v>
      </c>
      <c r="H40" s="11" t="n">
        <f aca="false">SUM(J40:W40)</f>
        <v>599.7</v>
      </c>
      <c r="I40" s="19"/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52.1</v>
      </c>
      <c r="P40" s="13" t="n">
        <v>52.1</v>
      </c>
      <c r="Q40" s="13" t="n">
        <v>52.1</v>
      </c>
      <c r="R40" s="13" t="n">
        <v>73.9</v>
      </c>
      <c r="S40" s="13" t="n">
        <v>73.9</v>
      </c>
      <c r="T40" s="13" t="n">
        <v>73.9</v>
      </c>
      <c r="U40" s="13" t="n">
        <v>73.9</v>
      </c>
      <c r="V40" s="13" t="n">
        <v>73.9</v>
      </c>
      <c r="W40" s="13" t="n">
        <v>73.9</v>
      </c>
      <c r="X40" s="14" t="s">
        <v>82</v>
      </c>
    </row>
    <row r="41" customFormat="false" ht="15" hidden="false" customHeight="false" outlineLevel="0" collapsed="false">
      <c r="A41" s="7" t="n">
        <v>32</v>
      </c>
      <c r="B41" s="7" t="s">
        <v>69</v>
      </c>
      <c r="C41" s="8" t="s">
        <v>83</v>
      </c>
      <c r="D41" s="7" t="s">
        <v>79</v>
      </c>
      <c r="E41" s="19"/>
      <c r="F41" s="19"/>
      <c r="G41" s="9" t="s">
        <v>32</v>
      </c>
      <c r="H41" s="11" t="n">
        <f aca="false">SUM(J41:W41)</f>
        <v>50.2</v>
      </c>
      <c r="I41" s="19"/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5</v>
      </c>
      <c r="P41" s="13" t="n">
        <v>5</v>
      </c>
      <c r="Q41" s="13" t="n">
        <v>5</v>
      </c>
      <c r="R41" s="13" t="n">
        <v>7</v>
      </c>
      <c r="S41" s="13" t="n">
        <v>3.6</v>
      </c>
      <c r="T41" s="13" t="n">
        <v>3.6</v>
      </c>
      <c r="U41" s="13" t="n">
        <v>7</v>
      </c>
      <c r="V41" s="13" t="n">
        <v>7</v>
      </c>
      <c r="W41" s="13" t="n">
        <v>7</v>
      </c>
      <c r="X41" s="14" t="s">
        <v>84</v>
      </c>
    </row>
    <row r="42" customFormat="false" ht="15" hidden="false" customHeight="false" outlineLevel="0" collapsed="false">
      <c r="A42" s="7" t="n">
        <v>33</v>
      </c>
      <c r="B42" s="7" t="s">
        <v>69</v>
      </c>
      <c r="C42" s="8" t="s">
        <v>85</v>
      </c>
      <c r="D42" s="7" t="s">
        <v>79</v>
      </c>
      <c r="E42" s="19"/>
      <c r="F42" s="19"/>
      <c r="G42" s="9" t="s">
        <v>32</v>
      </c>
      <c r="H42" s="11" t="n">
        <f aca="false">SUM(J42:W42)</f>
        <v>0</v>
      </c>
      <c r="I42" s="19"/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4" t="s">
        <v>86</v>
      </c>
    </row>
    <row r="43" customFormat="false" ht="15" hidden="false" customHeight="false" outlineLevel="0" collapsed="false">
      <c r="A43" s="7" t="n">
        <v>34</v>
      </c>
      <c r="B43" s="7" t="s">
        <v>69</v>
      </c>
      <c r="C43" s="8" t="s">
        <v>87</v>
      </c>
      <c r="D43" s="7"/>
      <c r="E43" s="19"/>
      <c r="F43" s="19"/>
      <c r="G43" s="9" t="s">
        <v>32</v>
      </c>
      <c r="H43" s="11" t="n">
        <f aca="false">SUM(J43:W43)</f>
        <v>51.6</v>
      </c>
      <c r="I43" s="19"/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4.6</v>
      </c>
      <c r="P43" s="13" t="n">
        <v>4.6</v>
      </c>
      <c r="Q43" s="13" t="n">
        <v>4.6</v>
      </c>
      <c r="R43" s="13" t="n">
        <v>6.3</v>
      </c>
      <c r="S43" s="13" t="n">
        <v>6.3</v>
      </c>
      <c r="T43" s="13" t="n">
        <v>6.3</v>
      </c>
      <c r="U43" s="13" t="n">
        <v>6.3</v>
      </c>
      <c r="V43" s="13" t="n">
        <v>6.3</v>
      </c>
      <c r="W43" s="13" t="n">
        <v>6.3</v>
      </c>
      <c r="X43" s="14"/>
    </row>
    <row r="44" customFormat="false" ht="15" hidden="false" customHeight="false" outlineLevel="0" collapsed="false">
      <c r="A44" s="7" t="n">
        <v>35</v>
      </c>
      <c r="B44" s="7" t="s">
        <v>69</v>
      </c>
      <c r="C44" s="8" t="s">
        <v>88</v>
      </c>
      <c r="D44" s="7" t="s">
        <v>89</v>
      </c>
      <c r="E44" s="9" t="n">
        <v>1</v>
      </c>
      <c r="F44" s="10" t="n">
        <v>8.96</v>
      </c>
      <c r="G44" s="9" t="s">
        <v>32</v>
      </c>
      <c r="H44" s="11" t="n">
        <f aca="false">SUM(J44:W44)</f>
        <v>126</v>
      </c>
      <c r="I44" s="19"/>
      <c r="J44" s="13" t="n">
        <v>9</v>
      </c>
      <c r="K44" s="13" t="n">
        <v>9</v>
      </c>
      <c r="L44" s="13" t="n">
        <v>9</v>
      </c>
      <c r="M44" s="13" t="n">
        <v>9</v>
      </c>
      <c r="N44" s="13" t="n">
        <v>9</v>
      </c>
      <c r="O44" s="13" t="n">
        <v>9</v>
      </c>
      <c r="P44" s="13" t="n">
        <v>9</v>
      </c>
      <c r="Q44" s="13" t="n">
        <v>9</v>
      </c>
      <c r="R44" s="13" t="n">
        <v>9</v>
      </c>
      <c r="S44" s="13" t="n">
        <v>9</v>
      </c>
      <c r="T44" s="13" t="n">
        <v>9</v>
      </c>
      <c r="U44" s="13" t="n">
        <v>9</v>
      </c>
      <c r="V44" s="13" t="n">
        <v>9</v>
      </c>
      <c r="W44" s="13" t="n">
        <v>9</v>
      </c>
      <c r="X44" s="14"/>
    </row>
    <row r="45" customFormat="false" ht="23.85" hidden="false" customHeight="false" outlineLevel="0" collapsed="false">
      <c r="A45" s="7" t="n">
        <v>36</v>
      </c>
      <c r="B45" s="7" t="s">
        <v>69</v>
      </c>
      <c r="C45" s="8" t="s">
        <v>90</v>
      </c>
      <c r="D45" s="7" t="s">
        <v>89</v>
      </c>
      <c r="E45" s="9" t="n">
        <v>1</v>
      </c>
      <c r="F45" s="10" t="n">
        <v>6.72</v>
      </c>
      <c r="G45" s="9" t="s">
        <v>32</v>
      </c>
      <c r="H45" s="11" t="n">
        <f aca="false">SUM(J45:W45)</f>
        <v>67</v>
      </c>
      <c r="I45" s="19"/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6.7</v>
      </c>
      <c r="O45" s="13" t="n">
        <v>6.7</v>
      </c>
      <c r="P45" s="13" t="n">
        <v>6.7</v>
      </c>
      <c r="Q45" s="13" t="n">
        <v>6.7</v>
      </c>
      <c r="R45" s="13" t="n">
        <v>6.7</v>
      </c>
      <c r="S45" s="13" t="n">
        <v>6.7</v>
      </c>
      <c r="T45" s="13" t="n">
        <v>6.7</v>
      </c>
      <c r="U45" s="13" t="n">
        <v>6.7</v>
      </c>
      <c r="V45" s="13" t="n">
        <v>6.7</v>
      </c>
      <c r="W45" s="13" t="n">
        <v>6.7</v>
      </c>
      <c r="X45" s="14" t="s">
        <v>91</v>
      </c>
    </row>
    <row r="46" customFormat="false" ht="15" hidden="false" customHeight="false" outlineLevel="0" collapsed="false">
      <c r="A46" s="7" t="n">
        <v>37</v>
      </c>
      <c r="B46" s="7" t="s">
        <v>69</v>
      </c>
      <c r="C46" s="8" t="s">
        <v>92</v>
      </c>
      <c r="D46" s="7" t="s">
        <v>89</v>
      </c>
      <c r="E46" s="9" t="n">
        <v>1</v>
      </c>
      <c r="F46" s="10" t="n">
        <v>5.6</v>
      </c>
      <c r="G46" s="9" t="s">
        <v>32</v>
      </c>
      <c r="H46" s="11" t="n">
        <f aca="false">SUM(J46:W46)</f>
        <v>78.4</v>
      </c>
      <c r="I46" s="19"/>
      <c r="J46" s="13" t="n">
        <v>5.6</v>
      </c>
      <c r="K46" s="13" t="n">
        <v>5.6</v>
      </c>
      <c r="L46" s="13" t="n">
        <v>5.6</v>
      </c>
      <c r="M46" s="13" t="n">
        <v>5.6</v>
      </c>
      <c r="N46" s="13" t="n">
        <v>5.6</v>
      </c>
      <c r="O46" s="13" t="n">
        <v>5.6</v>
      </c>
      <c r="P46" s="13" t="n">
        <v>5.6</v>
      </c>
      <c r="Q46" s="13" t="n">
        <v>5.6</v>
      </c>
      <c r="R46" s="13" t="n">
        <v>5.6</v>
      </c>
      <c r="S46" s="13" t="n">
        <v>5.6</v>
      </c>
      <c r="T46" s="13" t="n">
        <v>5.6</v>
      </c>
      <c r="U46" s="13" t="n">
        <v>5.6</v>
      </c>
      <c r="V46" s="13" t="n">
        <v>5.6</v>
      </c>
      <c r="W46" s="13" t="n">
        <v>5.6</v>
      </c>
      <c r="X46" s="14"/>
    </row>
    <row r="47" customFormat="false" ht="15" hidden="false" customHeight="false" outlineLevel="0" collapsed="false">
      <c r="A47" s="7" t="n">
        <v>38</v>
      </c>
      <c r="B47" s="7" t="s">
        <v>69</v>
      </c>
      <c r="C47" s="8" t="s">
        <v>93</v>
      </c>
      <c r="D47" s="7" t="s">
        <v>89</v>
      </c>
      <c r="E47" s="9" t="n">
        <v>1</v>
      </c>
      <c r="F47" s="10" t="n">
        <v>4.48</v>
      </c>
      <c r="G47" s="9" t="s">
        <v>32</v>
      </c>
      <c r="H47" s="11" t="n">
        <f aca="false">SUM(J47:W47)</f>
        <v>63</v>
      </c>
      <c r="I47" s="19"/>
      <c r="J47" s="13" t="n">
        <v>4.5</v>
      </c>
      <c r="K47" s="13" t="n">
        <v>4.5</v>
      </c>
      <c r="L47" s="13" t="n">
        <v>4.5</v>
      </c>
      <c r="M47" s="13" t="n">
        <v>4.5</v>
      </c>
      <c r="N47" s="13" t="n">
        <v>4.5</v>
      </c>
      <c r="O47" s="13" t="n">
        <v>4.5</v>
      </c>
      <c r="P47" s="13" t="n">
        <v>4.5</v>
      </c>
      <c r="Q47" s="13" t="n">
        <v>4.5</v>
      </c>
      <c r="R47" s="13" t="n">
        <v>4.5</v>
      </c>
      <c r="S47" s="13" t="n">
        <v>4.5</v>
      </c>
      <c r="T47" s="13" t="n">
        <v>4.5</v>
      </c>
      <c r="U47" s="13" t="n">
        <v>4.5</v>
      </c>
      <c r="V47" s="13" t="n">
        <v>4.5</v>
      </c>
      <c r="W47" s="13" t="n">
        <v>4.5</v>
      </c>
      <c r="X47" s="14"/>
    </row>
    <row r="48" customFormat="false" ht="15" hidden="false" customHeight="false" outlineLevel="0" collapsed="false">
      <c r="A48" s="7" t="n">
        <v>39</v>
      </c>
      <c r="B48" s="7" t="s">
        <v>69</v>
      </c>
      <c r="C48" s="8" t="s">
        <v>94</v>
      </c>
      <c r="D48" s="7" t="s">
        <v>89</v>
      </c>
      <c r="E48" s="9" t="n">
        <v>3</v>
      </c>
      <c r="F48" s="10" t="n">
        <v>3.92</v>
      </c>
      <c r="G48" s="9" t="s">
        <v>32</v>
      </c>
      <c r="H48" s="11" t="n">
        <f aca="false">SUM(J48:W48)</f>
        <v>118</v>
      </c>
      <c r="I48" s="19"/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11.8</v>
      </c>
      <c r="O48" s="13" t="n">
        <v>11.8</v>
      </c>
      <c r="P48" s="13" t="n">
        <v>11.8</v>
      </c>
      <c r="Q48" s="13" t="n">
        <v>11.8</v>
      </c>
      <c r="R48" s="13" t="n">
        <v>11.8</v>
      </c>
      <c r="S48" s="13" t="n">
        <v>11.8</v>
      </c>
      <c r="T48" s="13" t="n">
        <v>11.8</v>
      </c>
      <c r="U48" s="13" t="n">
        <v>11.8</v>
      </c>
      <c r="V48" s="13" t="n">
        <v>11.8</v>
      </c>
      <c r="W48" s="13" t="n">
        <v>11.8</v>
      </c>
      <c r="X48" s="14" t="s">
        <v>91</v>
      </c>
    </row>
    <row r="49" customFormat="false" ht="23.85" hidden="false" customHeight="false" outlineLevel="0" collapsed="false">
      <c r="A49" s="7" t="n">
        <v>40</v>
      </c>
      <c r="B49" s="7" t="s">
        <v>69</v>
      </c>
      <c r="C49" s="8" t="s">
        <v>95</v>
      </c>
      <c r="D49" s="7" t="s">
        <v>89</v>
      </c>
      <c r="E49" s="9" t="n">
        <v>3</v>
      </c>
      <c r="F49" s="10" t="n">
        <v>3.92</v>
      </c>
      <c r="G49" s="9" t="s">
        <v>32</v>
      </c>
      <c r="H49" s="11" t="n">
        <f aca="false">SUM(J49:W49)</f>
        <v>118</v>
      </c>
      <c r="I49" s="19"/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11.8</v>
      </c>
      <c r="O49" s="13" t="n">
        <v>11.8</v>
      </c>
      <c r="P49" s="13" t="n">
        <v>11.8</v>
      </c>
      <c r="Q49" s="13" t="n">
        <v>11.8</v>
      </c>
      <c r="R49" s="13" t="n">
        <v>11.8</v>
      </c>
      <c r="S49" s="13" t="n">
        <v>11.8</v>
      </c>
      <c r="T49" s="13" t="n">
        <v>11.8</v>
      </c>
      <c r="U49" s="13" t="n">
        <v>11.8</v>
      </c>
      <c r="V49" s="13" t="n">
        <v>11.8</v>
      </c>
      <c r="W49" s="13" t="n">
        <v>11.8</v>
      </c>
      <c r="X49" s="14" t="s">
        <v>91</v>
      </c>
    </row>
    <row r="50" customFormat="false" ht="23.85" hidden="false" customHeight="false" outlineLevel="0" collapsed="false">
      <c r="A50" s="7" t="n">
        <v>41</v>
      </c>
      <c r="B50" s="7" t="s">
        <v>69</v>
      </c>
      <c r="C50" s="8" t="s">
        <v>96</v>
      </c>
      <c r="D50" s="7" t="s">
        <v>89</v>
      </c>
      <c r="E50" s="9" t="n">
        <v>1</v>
      </c>
      <c r="F50" s="10" t="n">
        <v>5.04</v>
      </c>
      <c r="G50" s="9" t="s">
        <v>32</v>
      </c>
      <c r="H50" s="11" t="n">
        <f aca="false">SUM(J50:W50)</f>
        <v>70</v>
      </c>
      <c r="I50" s="19"/>
      <c r="J50" s="13" t="n">
        <v>5</v>
      </c>
      <c r="K50" s="13" t="n">
        <v>5</v>
      </c>
      <c r="L50" s="13" t="n">
        <v>5</v>
      </c>
      <c r="M50" s="13" t="n">
        <v>5</v>
      </c>
      <c r="N50" s="13" t="n">
        <v>5</v>
      </c>
      <c r="O50" s="13" t="n">
        <v>5</v>
      </c>
      <c r="P50" s="13" t="n">
        <v>5</v>
      </c>
      <c r="Q50" s="13" t="n">
        <v>5</v>
      </c>
      <c r="R50" s="13" t="n">
        <v>5</v>
      </c>
      <c r="S50" s="13" t="n">
        <v>5</v>
      </c>
      <c r="T50" s="13" t="n">
        <v>5</v>
      </c>
      <c r="U50" s="13" t="n">
        <v>5</v>
      </c>
      <c r="V50" s="13" t="n">
        <v>5</v>
      </c>
      <c r="W50" s="13" t="n">
        <v>5</v>
      </c>
      <c r="X50" s="14"/>
    </row>
    <row r="51" customFormat="false" ht="15" hidden="false" customHeight="false" outlineLevel="0" collapsed="false">
      <c r="A51" s="7" t="n">
        <v>42</v>
      </c>
      <c r="B51" s="7" t="s">
        <v>69</v>
      </c>
      <c r="C51" s="8" t="s">
        <v>97</v>
      </c>
      <c r="D51" s="7" t="s">
        <v>89</v>
      </c>
      <c r="E51" s="9" t="n">
        <v>3</v>
      </c>
      <c r="F51" s="10" t="n">
        <v>3.36</v>
      </c>
      <c r="G51" s="9" t="s">
        <v>32</v>
      </c>
      <c r="H51" s="11" t="n">
        <f aca="false">SUM(J51:W51)</f>
        <v>121.2</v>
      </c>
      <c r="I51" s="19"/>
      <c r="J51" s="13" t="n">
        <v>0</v>
      </c>
      <c r="K51" s="13" t="n">
        <v>0</v>
      </c>
      <c r="L51" s="13" t="n">
        <v>10.1</v>
      </c>
      <c r="M51" s="13" t="n">
        <v>10.1</v>
      </c>
      <c r="N51" s="13" t="n">
        <v>10.1</v>
      </c>
      <c r="O51" s="13" t="n">
        <v>10.1</v>
      </c>
      <c r="P51" s="13" t="n">
        <v>10.1</v>
      </c>
      <c r="Q51" s="13" t="n">
        <v>10.1</v>
      </c>
      <c r="R51" s="13" t="n">
        <v>10.1</v>
      </c>
      <c r="S51" s="13" t="n">
        <v>10.1</v>
      </c>
      <c r="T51" s="13" t="n">
        <v>10.1</v>
      </c>
      <c r="U51" s="13" t="n">
        <v>10.1</v>
      </c>
      <c r="V51" s="13" t="n">
        <v>10.1</v>
      </c>
      <c r="W51" s="13" t="n">
        <v>10.1</v>
      </c>
      <c r="X51" s="14"/>
    </row>
    <row r="52" customFormat="false" ht="15" hidden="false" customHeight="false" outlineLevel="0" collapsed="false">
      <c r="A52" s="7" t="n">
        <v>43</v>
      </c>
      <c r="B52" s="7" t="s">
        <v>69</v>
      </c>
      <c r="C52" s="8" t="s">
        <v>98</v>
      </c>
      <c r="D52" s="7" t="s">
        <v>89</v>
      </c>
      <c r="E52" s="9" t="n">
        <v>1</v>
      </c>
      <c r="F52" s="10" t="n">
        <v>2.8</v>
      </c>
      <c r="G52" s="9" t="s">
        <v>32</v>
      </c>
      <c r="H52" s="11" t="n">
        <f aca="false">SUM(J52:W52)</f>
        <v>39.2</v>
      </c>
      <c r="I52" s="19"/>
      <c r="J52" s="13" t="n">
        <v>2.8</v>
      </c>
      <c r="K52" s="13" t="n">
        <v>2.8</v>
      </c>
      <c r="L52" s="13" t="n">
        <v>2.8</v>
      </c>
      <c r="M52" s="13" t="n">
        <v>2.8</v>
      </c>
      <c r="N52" s="13" t="n">
        <v>2.8</v>
      </c>
      <c r="O52" s="13" t="n">
        <v>2.8</v>
      </c>
      <c r="P52" s="13" t="n">
        <v>2.8</v>
      </c>
      <c r="Q52" s="13" t="n">
        <v>2.8</v>
      </c>
      <c r="R52" s="13" t="n">
        <v>2.8</v>
      </c>
      <c r="S52" s="13" t="n">
        <v>2.8</v>
      </c>
      <c r="T52" s="13" t="n">
        <v>2.8</v>
      </c>
      <c r="U52" s="13" t="n">
        <v>2.8</v>
      </c>
      <c r="V52" s="13" t="n">
        <v>2.8</v>
      </c>
      <c r="W52" s="13" t="n">
        <v>2.8</v>
      </c>
      <c r="X52" s="14"/>
    </row>
    <row r="53" customFormat="false" ht="15" hidden="false" customHeight="false" outlineLevel="0" collapsed="false">
      <c r="A53" s="7" t="n">
        <v>44</v>
      </c>
      <c r="B53" s="7" t="s">
        <v>69</v>
      </c>
      <c r="C53" s="8" t="s">
        <v>99</v>
      </c>
      <c r="D53" s="7" t="s">
        <v>100</v>
      </c>
      <c r="E53" s="9" t="n">
        <v>8</v>
      </c>
      <c r="F53" s="10" t="n">
        <v>3.92</v>
      </c>
      <c r="G53" s="9" t="s">
        <v>32</v>
      </c>
      <c r="H53" s="11" t="n">
        <f aca="false">SUM(J53:W53)</f>
        <v>31.4</v>
      </c>
      <c r="I53" s="12" t="n">
        <f aca="false">ROUND(E53*F53-H53,1)</f>
        <v>-0</v>
      </c>
      <c r="J53" s="13" t="n">
        <v>15.7</v>
      </c>
      <c r="K53" s="13" t="n">
        <v>15.7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4" t="s">
        <v>101</v>
      </c>
    </row>
    <row r="54" customFormat="false" ht="15" hidden="false" customHeight="false" outlineLevel="0" collapsed="false">
      <c r="A54" s="7" t="n">
        <v>45</v>
      </c>
      <c r="B54" s="7" t="s">
        <v>69</v>
      </c>
      <c r="C54" s="8" t="s">
        <v>102</v>
      </c>
      <c r="D54" s="7" t="s">
        <v>100</v>
      </c>
      <c r="E54" s="9" t="n">
        <v>6</v>
      </c>
      <c r="F54" s="10" t="n">
        <v>4.48</v>
      </c>
      <c r="G54" s="9" t="s">
        <v>32</v>
      </c>
      <c r="H54" s="11" t="n">
        <f aca="false">SUM(J54:W54)</f>
        <v>26.9</v>
      </c>
      <c r="I54" s="12" t="n">
        <f aca="false">ROUND(E54*F54-H54,1)</f>
        <v>-0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26.9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4"/>
    </row>
    <row r="55" customFormat="false" ht="15" hidden="false" customHeight="false" outlineLevel="0" collapsed="false">
      <c r="A55" s="7" t="n">
        <v>46</v>
      </c>
      <c r="B55" s="7" t="s">
        <v>69</v>
      </c>
      <c r="C55" s="8" t="s">
        <v>103</v>
      </c>
      <c r="D55" s="7" t="s">
        <v>100</v>
      </c>
      <c r="E55" s="9" t="n">
        <v>8</v>
      </c>
      <c r="F55" s="10" t="n">
        <v>3.92</v>
      </c>
      <c r="G55" s="9" t="s">
        <v>32</v>
      </c>
      <c r="H55" s="11" t="n">
        <f aca="false">SUM(J55:W55)</f>
        <v>31.4</v>
      </c>
      <c r="I55" s="12" t="n">
        <f aca="false">ROUND(E55*F55-H55,1)</f>
        <v>-0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15.7</v>
      </c>
      <c r="T55" s="13" t="n">
        <v>15.7</v>
      </c>
      <c r="U55" s="13" t="n">
        <v>0</v>
      </c>
      <c r="V55" s="13" t="n">
        <v>0</v>
      </c>
      <c r="W55" s="13" t="n">
        <v>0</v>
      </c>
      <c r="X55" s="14"/>
    </row>
    <row r="56" customFormat="false" ht="15" hidden="false" customHeight="false" outlineLevel="0" collapsed="false">
      <c r="A56" s="7" t="n">
        <v>47</v>
      </c>
      <c r="B56" s="7" t="s">
        <v>69</v>
      </c>
      <c r="C56" s="8" t="s">
        <v>104</v>
      </c>
      <c r="D56" s="7" t="s">
        <v>100</v>
      </c>
      <c r="E56" s="9" t="n">
        <v>8</v>
      </c>
      <c r="F56" s="10" t="n">
        <v>3.92</v>
      </c>
      <c r="G56" s="9" t="s">
        <v>32</v>
      </c>
      <c r="H56" s="11" t="n">
        <f aca="false">SUM(J56:W56)</f>
        <v>31.4</v>
      </c>
      <c r="I56" s="12" t="n">
        <f aca="false">ROUND(E56*F56-H56,1)</f>
        <v>-0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15.7</v>
      </c>
      <c r="W56" s="13" t="n">
        <v>15.7</v>
      </c>
      <c r="X56" s="14"/>
    </row>
    <row r="57" customFormat="false" ht="15" hidden="false" customHeight="false" outlineLevel="0" collapsed="false">
      <c r="A57" s="7" t="n">
        <v>48</v>
      </c>
      <c r="B57" s="7" t="s">
        <v>69</v>
      </c>
      <c r="C57" s="8" t="s">
        <v>105</v>
      </c>
      <c r="D57" s="7"/>
      <c r="E57" s="19"/>
      <c r="F57" s="19"/>
      <c r="G57" s="9" t="s">
        <v>32</v>
      </c>
      <c r="H57" s="11" t="n">
        <f aca="false">SUM(J57:W57)</f>
        <v>49.5</v>
      </c>
      <c r="I57" s="19"/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4.3</v>
      </c>
      <c r="P57" s="13" t="n">
        <v>4.3</v>
      </c>
      <c r="Q57" s="13" t="n">
        <v>4.3</v>
      </c>
      <c r="R57" s="13" t="n">
        <v>6.1</v>
      </c>
      <c r="S57" s="13" t="n">
        <v>6.1</v>
      </c>
      <c r="T57" s="13" t="n">
        <v>6.1</v>
      </c>
      <c r="U57" s="13" t="n">
        <v>6.1</v>
      </c>
      <c r="V57" s="13" t="n">
        <v>6.1</v>
      </c>
      <c r="W57" s="13" t="n">
        <v>6.1</v>
      </c>
      <c r="X57" s="14"/>
    </row>
    <row r="58" customFormat="false" ht="15" hidden="false" customHeight="false" outlineLevel="0" collapsed="false">
      <c r="A58" s="7" t="n">
        <v>49</v>
      </c>
      <c r="B58" s="7" t="s">
        <v>69</v>
      </c>
      <c r="C58" s="8" t="s">
        <v>106</v>
      </c>
      <c r="D58" s="7"/>
      <c r="E58" s="19"/>
      <c r="F58" s="19"/>
      <c r="G58" s="9" t="s">
        <v>32</v>
      </c>
      <c r="H58" s="11" t="n">
        <f aca="false">SUM(J58:W58)</f>
        <v>25</v>
      </c>
      <c r="I58" s="19"/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25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4" t="s">
        <v>107</v>
      </c>
    </row>
    <row r="59" customFormat="false" ht="15" hidden="false" customHeight="false" outlineLevel="0" collapsed="false">
      <c r="A59" s="7" t="n">
        <v>50</v>
      </c>
      <c r="B59" s="7" t="s">
        <v>69</v>
      </c>
      <c r="C59" s="8" t="s">
        <v>108</v>
      </c>
      <c r="D59" s="7"/>
      <c r="E59" s="19"/>
      <c r="F59" s="19"/>
      <c r="G59" s="9" t="s">
        <v>32</v>
      </c>
      <c r="H59" s="11" t="n">
        <f aca="false">SUM(J59:W59)</f>
        <v>126</v>
      </c>
      <c r="I59" s="19"/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10</v>
      </c>
      <c r="P59" s="13" t="n">
        <v>10</v>
      </c>
      <c r="Q59" s="13" t="n">
        <v>10</v>
      </c>
      <c r="R59" s="13" t="n">
        <v>16</v>
      </c>
      <c r="S59" s="13" t="n">
        <v>16</v>
      </c>
      <c r="T59" s="13" t="n">
        <v>16</v>
      </c>
      <c r="U59" s="13" t="n">
        <v>16</v>
      </c>
      <c r="V59" s="13" t="n">
        <v>16</v>
      </c>
      <c r="W59" s="13" t="n">
        <v>16</v>
      </c>
      <c r="X59" s="14"/>
    </row>
    <row r="60" customFormat="false" ht="15" hidden="false" customHeight="false" outlineLevel="0" collapsed="false">
      <c r="A60" s="7" t="n">
        <v>51</v>
      </c>
      <c r="B60" s="7" t="s">
        <v>69</v>
      </c>
      <c r="C60" s="8" t="s">
        <v>109</v>
      </c>
      <c r="D60" s="7"/>
      <c r="E60" s="19"/>
      <c r="F60" s="19"/>
      <c r="G60" s="9" t="s">
        <v>32</v>
      </c>
      <c r="H60" s="11" t="n">
        <f aca="false">SUM(J60:W60)</f>
        <v>25.2</v>
      </c>
      <c r="I60" s="19"/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2.8</v>
      </c>
      <c r="P60" s="13" t="n">
        <v>2.8</v>
      </c>
      <c r="Q60" s="13" t="n">
        <v>2.8</v>
      </c>
      <c r="R60" s="13" t="n">
        <v>2.8</v>
      </c>
      <c r="S60" s="13" t="n">
        <v>2.8</v>
      </c>
      <c r="T60" s="13" t="n">
        <v>2.8</v>
      </c>
      <c r="U60" s="13" t="n">
        <v>2.8</v>
      </c>
      <c r="V60" s="13" t="n">
        <v>2.8</v>
      </c>
      <c r="W60" s="13" t="n">
        <v>2.8</v>
      </c>
      <c r="X60" s="14"/>
    </row>
    <row r="61" customFormat="false" ht="15" hidden="false" customHeight="false" outlineLevel="0" collapsed="false">
      <c r="A61" s="7" t="n">
        <v>52</v>
      </c>
      <c r="B61" s="7" t="s">
        <v>69</v>
      </c>
      <c r="C61" s="8" t="s">
        <v>110</v>
      </c>
      <c r="D61" s="7"/>
      <c r="E61" s="19"/>
      <c r="F61" s="19"/>
      <c r="G61" s="9" t="s">
        <v>32</v>
      </c>
      <c r="H61" s="11" t="n">
        <f aca="false">SUM(J61:W61)</f>
        <v>175</v>
      </c>
      <c r="I61" s="19"/>
      <c r="J61" s="13" t="n">
        <v>12.5</v>
      </c>
      <c r="K61" s="13" t="n">
        <v>12.5</v>
      </c>
      <c r="L61" s="13" t="n">
        <v>12.5</v>
      </c>
      <c r="M61" s="13" t="n">
        <v>12.5</v>
      </c>
      <c r="N61" s="13" t="n">
        <v>12.5</v>
      </c>
      <c r="O61" s="13" t="n">
        <v>12.5</v>
      </c>
      <c r="P61" s="13" t="n">
        <v>12.5</v>
      </c>
      <c r="Q61" s="13" t="n">
        <v>12.5</v>
      </c>
      <c r="R61" s="13" t="n">
        <v>12.5</v>
      </c>
      <c r="S61" s="13" t="n">
        <v>12.5</v>
      </c>
      <c r="T61" s="13" t="n">
        <v>12.5</v>
      </c>
      <c r="U61" s="13" t="n">
        <v>12.5</v>
      </c>
      <c r="V61" s="13" t="n">
        <v>12.5</v>
      </c>
      <c r="W61" s="13" t="n">
        <v>12.5</v>
      </c>
      <c r="X61" s="14"/>
    </row>
    <row r="62" customFormat="false" ht="15" hidden="false" customHeight="false" outlineLevel="0" collapsed="false">
      <c r="A62" s="7" t="n">
        <v>53</v>
      </c>
      <c r="B62" s="7" t="s">
        <v>69</v>
      </c>
      <c r="C62" s="8" t="s">
        <v>111</v>
      </c>
      <c r="D62" s="7"/>
      <c r="E62" s="19"/>
      <c r="F62" s="19"/>
      <c r="G62" s="9" t="s">
        <v>32</v>
      </c>
      <c r="H62" s="11" t="n">
        <f aca="false">SUM(J62:W62)</f>
        <v>29.7</v>
      </c>
      <c r="I62" s="19"/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3.3</v>
      </c>
      <c r="P62" s="13" t="n">
        <v>3.3</v>
      </c>
      <c r="Q62" s="13" t="n">
        <v>3.3</v>
      </c>
      <c r="R62" s="13" t="n">
        <v>3.3</v>
      </c>
      <c r="S62" s="13" t="n">
        <v>3.3</v>
      </c>
      <c r="T62" s="13" t="n">
        <v>3.3</v>
      </c>
      <c r="U62" s="13" t="n">
        <v>3.3</v>
      </c>
      <c r="V62" s="13" t="n">
        <v>3.3</v>
      </c>
      <c r="W62" s="13" t="n">
        <v>3.3</v>
      </c>
      <c r="X62" s="14"/>
    </row>
    <row r="63" customFormat="false" ht="15" hidden="false" customHeight="false" outlineLevel="0" collapsed="false">
      <c r="A63" s="7" t="n">
        <v>54</v>
      </c>
      <c r="B63" s="7" t="s">
        <v>69</v>
      </c>
      <c r="C63" s="8" t="s">
        <v>112</v>
      </c>
      <c r="D63" s="7"/>
      <c r="E63" s="19"/>
      <c r="F63" s="19"/>
      <c r="G63" s="9" t="s">
        <v>32</v>
      </c>
      <c r="H63" s="11" t="n">
        <f aca="false">SUM(J63:W63)</f>
        <v>13.2</v>
      </c>
      <c r="I63" s="19"/>
      <c r="J63" s="13" t="n">
        <v>0</v>
      </c>
      <c r="K63" s="13" t="n">
        <v>0</v>
      </c>
      <c r="L63" s="13" t="n">
        <v>1.1</v>
      </c>
      <c r="M63" s="13" t="n">
        <v>1.1</v>
      </c>
      <c r="N63" s="13" t="n">
        <v>1.1</v>
      </c>
      <c r="O63" s="13" t="n">
        <v>1.1</v>
      </c>
      <c r="P63" s="13" t="n">
        <v>1.1</v>
      </c>
      <c r="Q63" s="13" t="n">
        <v>1.1</v>
      </c>
      <c r="R63" s="13" t="n">
        <v>1.1</v>
      </c>
      <c r="S63" s="13" t="n">
        <v>1.1</v>
      </c>
      <c r="T63" s="13" t="n">
        <v>1.1</v>
      </c>
      <c r="U63" s="13" t="n">
        <v>1.1</v>
      </c>
      <c r="V63" s="13" t="n">
        <v>1.1</v>
      </c>
      <c r="W63" s="13" t="n">
        <v>1.1</v>
      </c>
      <c r="X63" s="14"/>
    </row>
    <row r="64" customFormat="false" ht="15" hidden="false" customHeight="false" outlineLevel="0" collapsed="false">
      <c r="A64" s="7" t="n">
        <v>55</v>
      </c>
      <c r="B64" s="7" t="s">
        <v>69</v>
      </c>
      <c r="C64" s="8" t="s">
        <v>113</v>
      </c>
      <c r="D64" s="7"/>
      <c r="E64" s="19"/>
      <c r="F64" s="19"/>
      <c r="G64" s="9" t="s">
        <v>32</v>
      </c>
      <c r="H64" s="11" t="n">
        <f aca="false">SUM(J64:W64)</f>
        <v>93.8</v>
      </c>
      <c r="I64" s="19"/>
      <c r="J64" s="13" t="n">
        <v>6.7</v>
      </c>
      <c r="K64" s="13" t="n">
        <v>6.7</v>
      </c>
      <c r="L64" s="13" t="n">
        <v>6.7</v>
      </c>
      <c r="M64" s="13" t="n">
        <v>6.7</v>
      </c>
      <c r="N64" s="13" t="n">
        <v>6.7</v>
      </c>
      <c r="O64" s="13" t="n">
        <v>6.7</v>
      </c>
      <c r="P64" s="13" t="n">
        <v>6.7</v>
      </c>
      <c r="Q64" s="13" t="n">
        <v>6.7</v>
      </c>
      <c r="R64" s="13" t="n">
        <v>6.7</v>
      </c>
      <c r="S64" s="13" t="n">
        <v>6.7</v>
      </c>
      <c r="T64" s="13" t="n">
        <v>6.7</v>
      </c>
      <c r="U64" s="13" t="n">
        <v>6.7</v>
      </c>
      <c r="V64" s="13" t="n">
        <v>6.7</v>
      </c>
      <c r="W64" s="13" t="n">
        <v>6.7</v>
      </c>
      <c r="X64" s="14"/>
    </row>
    <row r="65" customFormat="false" ht="15" hidden="false" customHeight="false" outlineLevel="0" collapsed="false">
      <c r="A65" s="15"/>
      <c r="B65" s="15"/>
      <c r="C65" s="16" t="s">
        <v>114</v>
      </c>
      <c r="D65" s="15"/>
      <c r="E65" s="15"/>
      <c r="F65" s="15"/>
      <c r="G65" s="15"/>
      <c r="H65" s="17" t="n">
        <f aca="false">SUM(H34:H64)</f>
        <v>2891.9</v>
      </c>
      <c r="I65" s="15"/>
      <c r="J65" s="17" t="n">
        <f aca="false">SUM(J34:J64)</f>
        <v>192.3</v>
      </c>
      <c r="K65" s="17" t="n">
        <f aca="false">SUM(K34:K64)</f>
        <v>61.8</v>
      </c>
      <c r="L65" s="17" t="n">
        <f aca="false">SUM(L34:L64)</f>
        <v>57.3</v>
      </c>
      <c r="M65" s="17" t="n">
        <f aca="false">SUM(M34:M64)</f>
        <v>57.3</v>
      </c>
      <c r="N65" s="17" t="n">
        <f aca="false">SUM(N34:N64)</f>
        <v>158.1</v>
      </c>
      <c r="O65" s="17" t="n">
        <f aca="false">SUM(O34:O64)</f>
        <v>222.6</v>
      </c>
      <c r="P65" s="17" t="n">
        <f aca="false">SUM(P34:P64)</f>
        <v>222.6</v>
      </c>
      <c r="Q65" s="17" t="n">
        <f aca="false">SUM(Q34:Q64)</f>
        <v>256.6</v>
      </c>
      <c r="R65" s="17" t="n">
        <f aca="false">SUM(R34:R64)</f>
        <v>289.2</v>
      </c>
      <c r="S65" s="17" t="n">
        <f aca="false">SUM(S34:S64)</f>
        <v>215.3</v>
      </c>
      <c r="T65" s="17" t="n">
        <f aca="false">SUM(T34:T64)</f>
        <v>215.3</v>
      </c>
      <c r="U65" s="17" t="n">
        <f aca="false">SUM(U34:U64)</f>
        <v>252.6</v>
      </c>
      <c r="V65" s="17" t="n">
        <f aca="false">SUM(V34:V64)</f>
        <v>399.2</v>
      </c>
      <c r="W65" s="17" t="n">
        <f aca="false">SUM(W34:W64)</f>
        <v>291.7</v>
      </c>
      <c r="X65" s="15"/>
    </row>
    <row r="66" customFormat="false" ht="15" hidden="false" customHeight="false" outlineLevel="0" collapsed="false">
      <c r="C66" s="18"/>
    </row>
    <row r="67" customFormat="false" ht="15" hidden="false" customHeight="false" outlineLevel="0" collapsed="false">
      <c r="A67" s="15"/>
      <c r="B67" s="15"/>
      <c r="C67" s="20" t="s">
        <v>115</v>
      </c>
      <c r="D67" s="15"/>
      <c r="E67" s="15"/>
      <c r="F67" s="15"/>
      <c r="G67" s="15"/>
      <c r="H67" s="21" t="n">
        <f aca="false">H31+H65</f>
        <v>9016.9</v>
      </c>
      <c r="I67" s="15"/>
      <c r="J67" s="21" t="n">
        <f aca="false">J31+J65</f>
        <v>496.3</v>
      </c>
      <c r="K67" s="21" t="n">
        <f aca="false">K31+K65</f>
        <v>280.8</v>
      </c>
      <c r="L67" s="21" t="n">
        <f aca="false">L31+L65</f>
        <v>417.3</v>
      </c>
      <c r="M67" s="21" t="n">
        <f aca="false">M31+M65</f>
        <v>647.3</v>
      </c>
      <c r="N67" s="21" t="n">
        <f aca="false">N31+N65</f>
        <v>1930.1</v>
      </c>
      <c r="O67" s="21" t="n">
        <f aca="false">O31+O65</f>
        <v>2962.6</v>
      </c>
      <c r="P67" s="21" t="n">
        <f aca="false">P31+P65</f>
        <v>222.6</v>
      </c>
      <c r="Q67" s="21" t="n">
        <f aca="false">Q31+Q65</f>
        <v>256.6</v>
      </c>
      <c r="R67" s="21" t="n">
        <f aca="false">R31+R65</f>
        <v>419.2</v>
      </c>
      <c r="S67" s="21" t="n">
        <f aca="false">S31+S65</f>
        <v>215.3</v>
      </c>
      <c r="T67" s="21" t="n">
        <f aca="false">T31+T65</f>
        <v>215.3</v>
      </c>
      <c r="U67" s="21" t="n">
        <f aca="false">U31+U65</f>
        <v>262.6</v>
      </c>
      <c r="V67" s="21" t="n">
        <f aca="false">V31+V65</f>
        <v>399.2</v>
      </c>
      <c r="W67" s="21" t="n">
        <f aca="false">W31+W65</f>
        <v>291.7</v>
      </c>
      <c r="X6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16" min="3" style="0" width="10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22" t="s">
        <v>118</v>
      </c>
      <c r="B4" s="22" t="s">
        <v>119</v>
      </c>
      <c r="C4" s="22" t="s">
        <v>12</v>
      </c>
      <c r="D4" s="22" t="s">
        <v>13</v>
      </c>
      <c r="E4" s="22" t="s">
        <v>14</v>
      </c>
      <c r="F4" s="22" t="s">
        <v>15</v>
      </c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22" t="s">
        <v>22</v>
      </c>
      <c r="N4" s="22" t="s">
        <v>23</v>
      </c>
      <c r="O4" s="22" t="s">
        <v>24</v>
      </c>
      <c r="P4" s="22" t="s">
        <v>25</v>
      </c>
    </row>
    <row r="5" customFormat="false" ht="15" hidden="false" customHeight="false" outlineLevel="0" collapsed="false">
      <c r="A5" s="2" t="s">
        <v>120</v>
      </c>
      <c r="B5" s="23" t="n">
        <f aca="false">SUM(C5:P5)</f>
        <v>3800</v>
      </c>
      <c r="C5" s="24" t="n">
        <f aca="false">SUMIFS(Xarajatlar!J7:J64,Xarajatlar!$B$7:$B$64,"Kapital",Xarajatlar!$G$7:$G$64,"Kredit")</f>
        <v>0</v>
      </c>
      <c r="D5" s="24" t="n">
        <f aca="false">SUMIFS(Xarajatlar!K7:K64,Xarajatlar!$B$7:$B$64,"Kapital",Xarajatlar!$G$7:$G$64,"Kredit")</f>
        <v>0</v>
      </c>
      <c r="E5" s="24" t="n">
        <f aca="false">SUMIFS(Xarajatlar!L7:L64,Xarajatlar!$B$7:$B$64,"Kapital",Xarajatlar!$G$7:$G$64,"Kredit")</f>
        <v>0</v>
      </c>
      <c r="F5" s="24" t="n">
        <f aca="false">SUMIFS(Xarajatlar!M7:M64,Xarajatlar!$B$7:$B$64,"Kapital",Xarajatlar!$G$7:$G$64,"Kredit")</f>
        <v>0</v>
      </c>
      <c r="G5" s="24" t="n">
        <f aca="false">SUMIFS(Xarajatlar!N7:N64,Xarajatlar!$B$7:$B$64,"Kapital",Xarajatlar!$G$7:$G$64,"Kredit")</f>
        <v>1140</v>
      </c>
      <c r="H5" s="24" t="n">
        <f aca="false">SUMIFS(Xarajatlar!O7:O64,Xarajatlar!$B$7:$B$64,"Kapital",Xarajatlar!$G$7:$G$64,"Kredit")</f>
        <v>2660</v>
      </c>
      <c r="I5" s="24" t="n">
        <f aca="false">SUMIFS(Xarajatlar!P7:P64,Xarajatlar!$B$7:$B$64,"Kapital",Xarajatlar!$G$7:$G$64,"Kredit")</f>
        <v>0</v>
      </c>
      <c r="J5" s="24" t="n">
        <f aca="false">SUMIFS(Xarajatlar!Q7:Q64,Xarajatlar!$B$7:$B$64,"Kapital",Xarajatlar!$G$7:$G$64,"Kredit")</f>
        <v>0</v>
      </c>
      <c r="K5" s="24" t="n">
        <f aca="false">SUMIFS(Xarajatlar!R7:R64,Xarajatlar!$B$7:$B$64,"Kapital",Xarajatlar!$G$7:$G$64,"Kredit")</f>
        <v>0</v>
      </c>
      <c r="L5" s="24" t="n">
        <f aca="false">SUMIFS(Xarajatlar!S7:S64,Xarajatlar!$B$7:$B$64,"Kapital",Xarajatlar!$G$7:$G$64,"Kredit")</f>
        <v>0</v>
      </c>
      <c r="M5" s="24" t="n">
        <f aca="false">SUMIFS(Xarajatlar!T7:T64,Xarajatlar!$B$7:$B$64,"Kapital",Xarajatlar!$G$7:$G$64,"Kredit")</f>
        <v>0</v>
      </c>
      <c r="N5" s="24" t="n">
        <f aca="false">SUMIFS(Xarajatlar!U7:U64,Xarajatlar!$B$7:$B$64,"Kapital",Xarajatlar!$G$7:$G$64,"Kredit")</f>
        <v>0</v>
      </c>
      <c r="O5" s="24" t="n">
        <f aca="false">SUMIFS(Xarajatlar!V7:V64,Xarajatlar!$B$7:$B$64,"Kapital",Xarajatlar!$G$7:$G$64,"Kredit")</f>
        <v>0</v>
      </c>
      <c r="P5" s="24" t="n">
        <f aca="false">SUMIFS(Xarajatlar!W7:W64,Xarajatlar!$B$7:$B$64,"Kapital",Xarajatlar!$G$7:$G$64,"Kredit")</f>
        <v>0</v>
      </c>
    </row>
    <row r="6" customFormat="false" ht="15" hidden="false" customHeight="false" outlineLevel="0" collapsed="false">
      <c r="A6" s="2" t="s">
        <v>121</v>
      </c>
      <c r="B6" s="23" t="n">
        <f aca="false">SUM(C6:P6)</f>
        <v>2325</v>
      </c>
      <c r="C6" s="24" t="n">
        <f aca="false">SUMIFS(Xarajatlar!J7:J64,Xarajatlar!$B$7:$B$64,"Kapital",Xarajatlar!$G$7:$G$64,"O'z mablag'i")</f>
        <v>304</v>
      </c>
      <c r="D6" s="24" t="n">
        <f aca="false">SUMIFS(Xarajatlar!K7:K64,Xarajatlar!$B$7:$B$64,"Kapital",Xarajatlar!$G$7:$G$64,"O'z mablag'i")</f>
        <v>219</v>
      </c>
      <c r="E6" s="24" t="n">
        <f aca="false">SUMIFS(Xarajatlar!L7:L64,Xarajatlar!$B$7:$B$64,"Kapital",Xarajatlar!$G$7:$G$64,"O'z mablag'i")</f>
        <v>360</v>
      </c>
      <c r="F6" s="24" t="n">
        <f aca="false">SUMIFS(Xarajatlar!M7:M64,Xarajatlar!$B$7:$B$64,"Kapital",Xarajatlar!$G$7:$G$64,"O'z mablag'i")</f>
        <v>590</v>
      </c>
      <c r="G6" s="24" t="n">
        <f aca="false">SUMIFS(Xarajatlar!N7:N64,Xarajatlar!$B$7:$B$64,"Kapital",Xarajatlar!$G$7:$G$64,"O'z mablag'i")</f>
        <v>632</v>
      </c>
      <c r="H6" s="24" t="n">
        <f aca="false">SUMIFS(Xarajatlar!O7:O64,Xarajatlar!$B$7:$B$64,"Kapital",Xarajatlar!$G$7:$G$64,"O'z mablag'i")</f>
        <v>80</v>
      </c>
      <c r="I6" s="24" t="n">
        <f aca="false">SUMIFS(Xarajatlar!P7:P64,Xarajatlar!$B$7:$B$64,"Kapital",Xarajatlar!$G$7:$G$64,"O'z mablag'i")</f>
        <v>0</v>
      </c>
      <c r="J6" s="24" t="n">
        <f aca="false">SUMIFS(Xarajatlar!Q7:Q64,Xarajatlar!$B$7:$B$64,"Kapital",Xarajatlar!$G$7:$G$64,"O'z mablag'i")</f>
        <v>0</v>
      </c>
      <c r="K6" s="24" t="n">
        <f aca="false">SUMIFS(Xarajatlar!R7:R64,Xarajatlar!$B$7:$B$64,"Kapital",Xarajatlar!$G$7:$G$64,"O'z mablag'i")</f>
        <v>130</v>
      </c>
      <c r="L6" s="24" t="n">
        <f aca="false">SUMIFS(Xarajatlar!S7:S64,Xarajatlar!$B$7:$B$64,"Kapital",Xarajatlar!$G$7:$G$64,"O'z mablag'i")</f>
        <v>0</v>
      </c>
      <c r="M6" s="24" t="n">
        <f aca="false">SUMIFS(Xarajatlar!T7:T64,Xarajatlar!$B$7:$B$64,"Kapital",Xarajatlar!$G$7:$G$64,"O'z mablag'i")</f>
        <v>0</v>
      </c>
      <c r="N6" s="24" t="n">
        <f aca="false">SUMIFS(Xarajatlar!U7:U64,Xarajatlar!$B$7:$B$64,"Kapital",Xarajatlar!$G$7:$G$64,"O'z mablag'i")</f>
        <v>10</v>
      </c>
      <c r="O6" s="24" t="n">
        <f aca="false">SUMIFS(Xarajatlar!V7:V64,Xarajatlar!$B$7:$B$64,"Kapital",Xarajatlar!$G$7:$G$64,"O'z mablag'i")</f>
        <v>0</v>
      </c>
      <c r="P6" s="24" t="n">
        <f aca="false">SUMIFS(Xarajatlar!W7:W64,Xarajatlar!$B$7:$B$64,"Kapital",Xarajatlar!$G$7:$G$64,"O'z mablag'i")</f>
        <v>0</v>
      </c>
    </row>
    <row r="7" customFormat="false" ht="15" hidden="false" customHeight="false" outlineLevel="0" collapsed="false">
      <c r="A7" s="2" t="s">
        <v>122</v>
      </c>
      <c r="B7" s="23" t="n">
        <f aca="false">SUM(C7:P7)</f>
        <v>2891.9</v>
      </c>
      <c r="C7" s="24" t="n">
        <f aca="false">SUMIFS(Xarajatlar!J7:J64,Xarajatlar!$B$7:$B$64,"Joriy",Xarajatlar!$G$7:$G$64,"O'z mablag'i")</f>
        <v>192.3</v>
      </c>
      <c r="D7" s="24" t="n">
        <f aca="false">SUMIFS(Xarajatlar!K7:K64,Xarajatlar!$B$7:$B$64,"Joriy",Xarajatlar!$G$7:$G$64,"O'z mablag'i")</f>
        <v>61.8</v>
      </c>
      <c r="E7" s="24" t="n">
        <f aca="false">SUMIFS(Xarajatlar!L7:L64,Xarajatlar!$B$7:$B$64,"Joriy",Xarajatlar!$G$7:$G$64,"O'z mablag'i")</f>
        <v>57.3</v>
      </c>
      <c r="F7" s="24" t="n">
        <f aca="false">SUMIFS(Xarajatlar!M7:M64,Xarajatlar!$B$7:$B$64,"Joriy",Xarajatlar!$G$7:$G$64,"O'z mablag'i")</f>
        <v>57.3</v>
      </c>
      <c r="G7" s="24" t="n">
        <f aca="false">SUMIFS(Xarajatlar!N7:N64,Xarajatlar!$B$7:$B$64,"Joriy",Xarajatlar!$G$7:$G$64,"O'z mablag'i")</f>
        <v>158.1</v>
      </c>
      <c r="H7" s="24" t="n">
        <f aca="false">SUMIFS(Xarajatlar!O7:O64,Xarajatlar!$B$7:$B$64,"Joriy",Xarajatlar!$G$7:$G$64,"O'z mablag'i")</f>
        <v>222.6</v>
      </c>
      <c r="I7" s="24" t="n">
        <f aca="false">SUMIFS(Xarajatlar!P7:P64,Xarajatlar!$B$7:$B$64,"Joriy",Xarajatlar!$G$7:$G$64,"O'z mablag'i")</f>
        <v>222.6</v>
      </c>
      <c r="J7" s="24" t="n">
        <f aca="false">SUMIFS(Xarajatlar!Q7:Q64,Xarajatlar!$B$7:$B$64,"Joriy",Xarajatlar!$G$7:$G$64,"O'z mablag'i")</f>
        <v>256.6</v>
      </c>
      <c r="K7" s="24" t="n">
        <f aca="false">SUMIFS(Xarajatlar!R7:R64,Xarajatlar!$B$7:$B$64,"Joriy",Xarajatlar!$G$7:$G$64,"O'z mablag'i")</f>
        <v>289.2</v>
      </c>
      <c r="L7" s="24" t="n">
        <f aca="false">SUMIFS(Xarajatlar!S7:S64,Xarajatlar!$B$7:$B$64,"Joriy",Xarajatlar!$G$7:$G$64,"O'z mablag'i")</f>
        <v>215.3</v>
      </c>
      <c r="M7" s="24" t="n">
        <f aca="false">SUMIFS(Xarajatlar!T7:T64,Xarajatlar!$B$7:$B$64,"Joriy",Xarajatlar!$G$7:$G$64,"O'z mablag'i")</f>
        <v>215.3</v>
      </c>
      <c r="N7" s="24" t="n">
        <f aca="false">SUMIFS(Xarajatlar!U7:U64,Xarajatlar!$B$7:$B$64,"Joriy",Xarajatlar!$G$7:$G$64,"O'z mablag'i")</f>
        <v>252.6</v>
      </c>
      <c r="O7" s="24" t="n">
        <f aca="false">SUMIFS(Xarajatlar!V7:V64,Xarajatlar!$B$7:$B$64,"Joriy",Xarajatlar!$G$7:$G$64,"O'z mablag'i")</f>
        <v>399.2</v>
      </c>
      <c r="P7" s="24" t="n">
        <f aca="false">SUMIFS(Xarajatlar!W7:W64,Xarajatlar!$B$7:$B$64,"Joriy",Xarajatlar!$G$7:$G$64,"O'z mablag'i")</f>
        <v>291.7</v>
      </c>
    </row>
    <row r="8" customFormat="false" ht="15" hidden="false" customHeight="false" outlineLevel="0" collapsed="false">
      <c r="A8" s="2" t="s">
        <v>123</v>
      </c>
      <c r="B8" s="23" t="n">
        <f aca="false">SUM(C8:P8)</f>
        <v>0</v>
      </c>
      <c r="C8" s="24" t="n">
        <f aca="false">SUMIFS(Xarajatlar!J7:J64,Xarajatlar!$B$7:$B$64,"Joriy",Xarajatlar!$G$7:$G$64,"Kredit")</f>
        <v>0</v>
      </c>
      <c r="D8" s="24" t="n">
        <f aca="false">SUMIFS(Xarajatlar!K7:K64,Xarajatlar!$B$7:$B$64,"Joriy",Xarajatlar!$G$7:$G$64,"Kredit")</f>
        <v>0</v>
      </c>
      <c r="E8" s="24" t="n">
        <f aca="false">SUMIFS(Xarajatlar!L7:L64,Xarajatlar!$B$7:$B$64,"Joriy",Xarajatlar!$G$7:$G$64,"Kredit")</f>
        <v>0</v>
      </c>
      <c r="F8" s="24" t="n">
        <f aca="false">SUMIFS(Xarajatlar!M7:M64,Xarajatlar!$B$7:$B$64,"Joriy",Xarajatlar!$G$7:$G$64,"Kredit")</f>
        <v>0</v>
      </c>
      <c r="G8" s="24" t="n">
        <f aca="false">SUMIFS(Xarajatlar!N7:N64,Xarajatlar!$B$7:$B$64,"Joriy",Xarajatlar!$G$7:$G$64,"Kredit")</f>
        <v>0</v>
      </c>
      <c r="H8" s="24" t="n">
        <f aca="false">SUMIFS(Xarajatlar!O7:O64,Xarajatlar!$B$7:$B$64,"Joriy",Xarajatlar!$G$7:$G$64,"Kredit")</f>
        <v>0</v>
      </c>
      <c r="I8" s="24" t="n">
        <f aca="false">SUMIFS(Xarajatlar!P7:P64,Xarajatlar!$B$7:$B$64,"Joriy",Xarajatlar!$G$7:$G$64,"Kredit")</f>
        <v>0</v>
      </c>
      <c r="J8" s="24" t="n">
        <f aca="false">SUMIFS(Xarajatlar!Q7:Q64,Xarajatlar!$B$7:$B$64,"Joriy",Xarajatlar!$G$7:$G$64,"Kredit")</f>
        <v>0</v>
      </c>
      <c r="K8" s="24" t="n">
        <f aca="false">SUMIFS(Xarajatlar!R7:R64,Xarajatlar!$B$7:$B$64,"Joriy",Xarajatlar!$G$7:$G$64,"Kredit")</f>
        <v>0</v>
      </c>
      <c r="L8" s="24" t="n">
        <f aca="false">SUMIFS(Xarajatlar!S7:S64,Xarajatlar!$B$7:$B$64,"Joriy",Xarajatlar!$G$7:$G$64,"Kredit")</f>
        <v>0</v>
      </c>
      <c r="M8" s="24" t="n">
        <f aca="false">SUMIFS(Xarajatlar!T7:T64,Xarajatlar!$B$7:$B$64,"Joriy",Xarajatlar!$G$7:$G$64,"Kredit")</f>
        <v>0</v>
      </c>
      <c r="N8" s="24" t="n">
        <f aca="false">SUMIFS(Xarajatlar!U7:U64,Xarajatlar!$B$7:$B$64,"Joriy",Xarajatlar!$G$7:$G$64,"Kredit")</f>
        <v>0</v>
      </c>
      <c r="O8" s="24" t="n">
        <f aca="false">SUMIFS(Xarajatlar!V7:V64,Xarajatlar!$B$7:$B$64,"Joriy",Xarajatlar!$G$7:$G$64,"Kredit")</f>
        <v>0</v>
      </c>
      <c r="P8" s="24" t="n">
        <f aca="false">SUMIFS(Xarajatlar!W7:W64,Xarajatlar!$B$7:$B$64,"Joriy",Xarajatlar!$G$7:$G$64,"Kredit")</f>
        <v>0</v>
      </c>
    </row>
    <row r="9" customFormat="false" ht="15" hidden="false" customHeight="false" outlineLevel="0" collapsed="false">
      <c r="A9" s="5" t="s">
        <v>124</v>
      </c>
      <c r="B9" s="25" t="n">
        <f aca="false">SUM(C9:P9)</f>
        <v>3800</v>
      </c>
      <c r="C9" s="25" t="n">
        <f aca="false">C5+C8</f>
        <v>0</v>
      </c>
      <c r="D9" s="25" t="n">
        <f aca="false">D5+D8</f>
        <v>0</v>
      </c>
      <c r="E9" s="25" t="n">
        <f aca="false">E5+E8</f>
        <v>0</v>
      </c>
      <c r="F9" s="25" t="n">
        <f aca="false">F5+F8</f>
        <v>0</v>
      </c>
      <c r="G9" s="25" t="n">
        <f aca="false">G5+G8</f>
        <v>1140</v>
      </c>
      <c r="H9" s="25" t="n">
        <f aca="false">H5+H8</f>
        <v>2660</v>
      </c>
      <c r="I9" s="25" t="n">
        <f aca="false">I5+I8</f>
        <v>0</v>
      </c>
      <c r="J9" s="25" t="n">
        <f aca="false">J5+J8</f>
        <v>0</v>
      </c>
      <c r="K9" s="25" t="n">
        <f aca="false">K5+K8</f>
        <v>0</v>
      </c>
      <c r="L9" s="25" t="n">
        <f aca="false">L5+L8</f>
        <v>0</v>
      </c>
      <c r="M9" s="25" t="n">
        <f aca="false">M5+M8</f>
        <v>0</v>
      </c>
      <c r="N9" s="25" t="n">
        <f aca="false">N5+N8</f>
        <v>0</v>
      </c>
      <c r="O9" s="25" t="n">
        <f aca="false">O5+O8</f>
        <v>0</v>
      </c>
      <c r="P9" s="25" t="n">
        <f aca="false">P5+P8</f>
        <v>0</v>
      </c>
    </row>
    <row r="10" customFormat="false" ht="15" hidden="false" customHeight="false" outlineLevel="0" collapsed="false">
      <c r="A10" s="5" t="s">
        <v>125</v>
      </c>
      <c r="B10" s="25" t="n">
        <f aca="false">SUM(C10:P10)</f>
        <v>5216.9</v>
      </c>
      <c r="C10" s="25" t="n">
        <f aca="false">C6+C7</f>
        <v>496.3</v>
      </c>
      <c r="D10" s="25" t="n">
        <f aca="false">D6+D7</f>
        <v>280.8</v>
      </c>
      <c r="E10" s="25" t="n">
        <f aca="false">E6+E7</f>
        <v>417.3</v>
      </c>
      <c r="F10" s="25" t="n">
        <f aca="false">F6+F7</f>
        <v>647.3</v>
      </c>
      <c r="G10" s="25" t="n">
        <f aca="false">G6+G7</f>
        <v>790.1</v>
      </c>
      <c r="H10" s="25" t="n">
        <f aca="false">H6+H7</f>
        <v>302.6</v>
      </c>
      <c r="I10" s="25" t="n">
        <f aca="false">I6+I7</f>
        <v>222.6</v>
      </c>
      <c r="J10" s="25" t="n">
        <f aca="false">J6+J7</f>
        <v>256.6</v>
      </c>
      <c r="K10" s="25" t="n">
        <f aca="false">K6+K7</f>
        <v>419.2</v>
      </c>
      <c r="L10" s="25" t="n">
        <f aca="false">L6+L7</f>
        <v>215.3</v>
      </c>
      <c r="M10" s="25" t="n">
        <f aca="false">M6+M7</f>
        <v>215.3</v>
      </c>
      <c r="N10" s="25" t="n">
        <f aca="false">N6+N7</f>
        <v>262.6</v>
      </c>
      <c r="O10" s="25" t="n">
        <f aca="false">O6+O7</f>
        <v>399.2</v>
      </c>
      <c r="P10" s="25" t="n">
        <f aca="false">P6+P7</f>
        <v>291.7</v>
      </c>
    </row>
    <row r="11" customFormat="false" ht="15" hidden="false" customHeight="false" outlineLevel="0" collapsed="false">
      <c r="A11" s="26" t="s">
        <v>126</v>
      </c>
      <c r="B11" s="17" t="n">
        <f aca="false">SUM(C11:P11)</f>
        <v>9016.9</v>
      </c>
      <c r="C11" s="17" t="n">
        <f aca="false">C9+C10</f>
        <v>496.3</v>
      </c>
      <c r="D11" s="17" t="n">
        <f aca="false">D9+D10</f>
        <v>280.8</v>
      </c>
      <c r="E11" s="17" t="n">
        <f aca="false">E9+E10</f>
        <v>417.3</v>
      </c>
      <c r="F11" s="17" t="n">
        <f aca="false">F9+F10</f>
        <v>647.3</v>
      </c>
      <c r="G11" s="17" t="n">
        <f aca="false">G9+G10</f>
        <v>1930.1</v>
      </c>
      <c r="H11" s="17" t="n">
        <f aca="false">H9+H10</f>
        <v>2962.6</v>
      </c>
      <c r="I11" s="17" t="n">
        <f aca="false">I9+I10</f>
        <v>222.6</v>
      </c>
      <c r="J11" s="17" t="n">
        <f aca="false">J9+J10</f>
        <v>256.6</v>
      </c>
      <c r="K11" s="17" t="n">
        <f aca="false">K9+K10</f>
        <v>419.2</v>
      </c>
      <c r="L11" s="17" t="n">
        <f aca="false">L9+L10</f>
        <v>215.3</v>
      </c>
      <c r="M11" s="17" t="n">
        <f aca="false">M9+M10</f>
        <v>215.3</v>
      </c>
      <c r="N11" s="17" t="n">
        <f aca="false">N9+N10</f>
        <v>262.6</v>
      </c>
      <c r="O11" s="17" t="n">
        <f aca="false">O9+O10</f>
        <v>399.2</v>
      </c>
      <c r="P11" s="17" t="n">
        <f aca="false">P9+P10</f>
        <v>291.7</v>
      </c>
    </row>
    <row r="12" customFormat="false" ht="15" hidden="false" customHeight="false" outlineLevel="0" collapsed="false">
      <c r="A12" s="5" t="s">
        <v>127</v>
      </c>
      <c r="B12" s="4"/>
      <c r="C12" s="25" t="n">
        <f aca="false">C10</f>
        <v>496.3</v>
      </c>
      <c r="D12" s="25" t="n">
        <f aca="false">C12+D10</f>
        <v>777.1</v>
      </c>
      <c r="E12" s="25" t="n">
        <f aca="false">D12+E10</f>
        <v>1194.4</v>
      </c>
      <c r="F12" s="25" t="n">
        <f aca="false">E12+F10</f>
        <v>1841.7</v>
      </c>
      <c r="G12" s="25" t="n">
        <f aca="false">F12+G10</f>
        <v>2631.8</v>
      </c>
      <c r="H12" s="25" t="n">
        <f aca="false">G12+H10</f>
        <v>2934.4</v>
      </c>
      <c r="I12" s="25" t="n">
        <f aca="false">H12+I10</f>
        <v>3157</v>
      </c>
      <c r="J12" s="25" t="n">
        <f aca="false">I12+J10</f>
        <v>3413.6</v>
      </c>
      <c r="K12" s="25" t="n">
        <f aca="false">J12+K10</f>
        <v>3832.8</v>
      </c>
      <c r="L12" s="25" t="n">
        <f aca="false">K12+L10</f>
        <v>4048.1</v>
      </c>
      <c r="M12" s="25" t="n">
        <f aca="false">L12+M10</f>
        <v>4263.4</v>
      </c>
      <c r="N12" s="25" t="n">
        <f aca="false">M12+N10</f>
        <v>4526</v>
      </c>
      <c r="O12" s="25" t="n">
        <f aca="false">N12+O10</f>
        <v>4925.2</v>
      </c>
      <c r="P12" s="25" t="n">
        <f aca="false">O12+P10</f>
        <v>5216.9</v>
      </c>
    </row>
    <row r="14" customFormat="false" ht="15" hidden="false" customHeight="false" outlineLevel="0" collapsed="false">
      <c r="A14" s="2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2026-10-06T06:27:23Z</dcterms:created>
  <dc:creator>openpyxl</dc:creator>
  <dc:description/>
  <dc:language>en-US</dc:language>
  <cp:lastModifiedBy/>
  <dcterms:modified xsi:type="dcterms:W3CDTF">2026-10-06T06:27:23Z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